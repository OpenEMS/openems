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blenergy.sharepoint.com/sites/KI-M-Bat/Freigegebene Dokumente/General/Data/STABL/"/>
    </mc:Choice>
  </mc:AlternateContent>
  <xr:revisionPtr revIDLastSave="0" documentId="8_{A0F06D15-B55E-A94B-8EF7-47D617890496}" xr6:coauthVersionLast="47" xr6:coauthVersionMax="47" xr10:uidLastSave="{00000000-0000-0000-0000-000000000000}"/>
  <bookViews>
    <workbookView xWindow="1940" yWindow="1180" windowWidth="14400" windowHeight="9660" xr2:uid="{00000000-000D-0000-FFFF-FFFF00000000}"/>
  </bookViews>
  <sheets>
    <sheet name="Parameters" sheetId="1" r:id="rId1"/>
    <sheet name="Error_Warning_List" sheetId="2" r:id="rId2"/>
    <sheet name="ABB-NA-Schutz" sheetId="3" r:id="rId3"/>
    <sheet name="Abgespeckte List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L134" i="1"/>
  <c r="L112" i="1"/>
  <c r="L90" i="1"/>
  <c r="L68" i="1"/>
  <c r="L46" i="1"/>
  <c r="L24" i="1"/>
  <c r="J24" i="1"/>
  <c r="J26" i="1"/>
  <c r="J27" i="1" s="1"/>
  <c r="J28" i="1" s="1"/>
  <c r="J29" i="1" s="1"/>
  <c r="J30" i="1" s="1"/>
  <c r="J31" i="1" s="1"/>
  <c r="J32" i="1" s="1"/>
  <c r="J33" i="1" l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7" i="1" s="1"/>
  <c r="J48" i="1" l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9" i="1" s="1"/>
  <c r="J68" i="1" s="1"/>
  <c r="J46" i="1"/>
  <c r="J70" i="1" l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1" i="1" l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3" i="1" s="1"/>
  <c r="J114" i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5" i="1" s="1"/>
  <c r="J112" i="1"/>
  <c r="J90" i="1" l="1"/>
  <c r="J134" i="1"/>
  <c r="J136" i="1"/>
  <c r="J137" i="1" s="1"/>
  <c r="J138" i="1" s="1"/>
  <c r="J139" i="1" s="1"/>
  <c r="J140" i="1" s="1"/>
  <c r="J141" i="1" s="1"/>
  <c r="J142" i="1" s="1"/>
</calcChain>
</file>

<file path=xl/sharedStrings.xml><?xml version="1.0" encoding="utf-8"?>
<sst xmlns="http://schemas.openxmlformats.org/spreadsheetml/2006/main" count="2387" uniqueCount="417">
  <si>
    <t>Stabl Modbusregister</t>
  </si>
  <si>
    <t>Date</t>
  </si>
  <si>
    <t>Modbus Tutorial from Control Solutions (csimn.com)</t>
  </si>
  <si>
    <t>Implemented</t>
  </si>
  <si>
    <t>Name</t>
  </si>
  <si>
    <t>Description</t>
  </si>
  <si>
    <t>Unit</t>
  </si>
  <si>
    <t>Resolution</t>
  </si>
  <si>
    <t>Default</t>
  </si>
  <si>
    <t>Min</t>
  </si>
  <si>
    <t>Max</t>
  </si>
  <si>
    <t>Datatype</t>
  </si>
  <si>
    <t>Modbus Addr</t>
  </si>
  <si>
    <t>Type</t>
  </si>
  <si>
    <t>Length</t>
  </si>
  <si>
    <t>FCr</t>
  </si>
  <si>
    <t>FCw</t>
  </si>
  <si>
    <t>Access</t>
  </si>
  <si>
    <t>SettingsParamList</t>
  </si>
  <si>
    <t>ComTimeOutEMS</t>
  </si>
  <si>
    <t>EMS communication timeout (0 = timeout deaktivate)</t>
  </si>
  <si>
    <t>s</t>
  </si>
  <si>
    <t>1.0</t>
  </si>
  <si>
    <t>UINT16</t>
  </si>
  <si>
    <t>1016</t>
  </si>
  <si>
    <t>Register</t>
  </si>
  <si>
    <t>1</t>
  </si>
  <si>
    <t>03</t>
  </si>
  <si>
    <t>06</t>
  </si>
  <si>
    <t>rw</t>
  </si>
  <si>
    <t>SoftwareReset</t>
  </si>
  <si>
    <t>Setting this flag will restart the CPU (only in idle or error state)</t>
  </si>
  <si>
    <t>-</t>
  </si>
  <si>
    <t>0</t>
  </si>
  <si>
    <t>1017</t>
  </si>
  <si>
    <t>w</t>
  </si>
  <si>
    <t>aktualisierungen</t>
  </si>
  <si>
    <t xml:space="preserve">Standby Mode </t>
  </si>
  <si>
    <t>Set the inverter to low Power mode (System Offline) SoftwareReset to wakeup</t>
  </si>
  <si>
    <t>nicht voll implementiert. Im nächsten release vorhanden</t>
  </si>
  <si>
    <t>FirmwareHashNumberMaster</t>
  </si>
  <si>
    <t>Code Version Master</t>
  </si>
  <si>
    <t>04</t>
  </si>
  <si>
    <t>r</t>
  </si>
  <si>
    <t xml:space="preserve">not supported </t>
  </si>
  <si>
    <t>FirmwareHashNumberModule</t>
  </si>
  <si>
    <t>Code Version Modules</t>
  </si>
  <si>
    <t>SetPointsParamList</t>
  </si>
  <si>
    <t>ActivatePowerStage</t>
  </si>
  <si>
    <t>Power stage configuration:
1 = power stage on;
0 = power stage off;</t>
  </si>
  <si>
    <t>4000</t>
  </si>
  <si>
    <t>ResetAlarmsFlag</t>
  </si>
  <si>
    <t>Resets current alarm and warning messages</t>
  </si>
  <si>
    <t>4002</t>
  </si>
  <si>
    <t>GridType</t>
  </si>
  <si>
    <r>
      <rPr>
        <sz val="11"/>
        <color rgb="FF000000"/>
        <rFont val="Calibri"/>
        <family val="2"/>
        <scheme val="minor"/>
      </rPr>
      <t xml:space="preserve">Grid type:
0 = grid-tied, 400V, 50Hz
</t>
    </r>
    <r>
      <rPr>
        <sz val="11"/>
        <color rgb="FFFF0000"/>
        <rFont val="Calibri"/>
        <family val="2"/>
        <scheme val="minor"/>
      </rPr>
      <t xml:space="preserve">2 = island mode, 400V, 50Hz
</t>
    </r>
  </si>
  <si>
    <t>4</t>
  </si>
  <si>
    <t>4009</t>
  </si>
  <si>
    <t>GridCode</t>
  </si>
  <si>
    <t>0 = VDE AR 4105 (set by EMS)</t>
  </si>
  <si>
    <t>SystemSignedPowerSetPointAC</t>
  </si>
  <si>
    <t>Signed power set value AC (sign influences cos phi)</t>
  </si>
  <si>
    <t>kVA</t>
  </si>
  <si>
    <t>0.1</t>
  </si>
  <si>
    <t>INT16</t>
  </si>
  <si>
    <t>4195</t>
  </si>
  <si>
    <t>CosPhiSetPointAC</t>
  </si>
  <si>
    <t>0.001</t>
  </si>
  <si>
    <t>IslandFrequencyOffset</t>
  </si>
  <si>
    <t>Frequency offset in island operation</t>
  </si>
  <si>
    <t>Hz</t>
  </si>
  <si>
    <t>STABLExtendedValuesParamList</t>
  </si>
  <si>
    <t>Temperature</t>
  </si>
  <si>
    <t>Temperture of System,String and Module in Min,Max and Avg</t>
  </si>
  <si>
    <t>°C</t>
  </si>
  <si>
    <t>TemperatureMinSystem</t>
  </si>
  <si>
    <t>TemperatureMinString1</t>
  </si>
  <si>
    <t>TemperatureMinString1ModuleX</t>
  </si>
  <si>
    <t>TemperatureMinString2</t>
  </si>
  <si>
    <t>TemperatureMinString2ModuleX</t>
  </si>
  <si>
    <t>TemperatureMinString3</t>
  </si>
  <si>
    <t>TemperatureMinString3ModuleX</t>
  </si>
  <si>
    <t>TemperatureMaxSystem</t>
  </si>
  <si>
    <t>TemperatureMaxString1</t>
  </si>
  <si>
    <t>TemperatureMaxString1ModuleX</t>
  </si>
  <si>
    <t>TemperatureMaxString2</t>
  </si>
  <si>
    <t>TemperatureMaxString2ModuleX</t>
  </si>
  <si>
    <t>TemperatureMaxString3</t>
  </si>
  <si>
    <t>TemperatureMaxString3ModuleX</t>
  </si>
  <si>
    <t>TemperatureAvgSystem</t>
  </si>
  <si>
    <t>TemperatureAvgString1</t>
  </si>
  <si>
    <t>TemperatureAvgString1ModuleX</t>
  </si>
  <si>
    <t>TemperatureAvgString2</t>
  </si>
  <si>
    <t>TemperatureAvgString2ModuleX</t>
  </si>
  <si>
    <t>TemperatureAvgString3</t>
  </si>
  <si>
    <t>TemperatureAvgString3ModuleX</t>
  </si>
  <si>
    <t>Voltage</t>
  </si>
  <si>
    <t>Voltage of System,String and Module in Min,Max and Avg</t>
  </si>
  <si>
    <t>V</t>
  </si>
  <si>
    <t>VoltageMinSytem</t>
  </si>
  <si>
    <t>VoltageMinString1</t>
  </si>
  <si>
    <t>VotageMinString1ModuleX</t>
  </si>
  <si>
    <t>VoltageMinString2</t>
  </si>
  <si>
    <t>VotageMinString2ModuleX</t>
  </si>
  <si>
    <t>VoltageMinString3</t>
  </si>
  <si>
    <t>VotageMinString3ModuleX</t>
  </si>
  <si>
    <t>VoltageMaxSytem</t>
  </si>
  <si>
    <t>VoltageMaxString1</t>
  </si>
  <si>
    <t>VotageMaxString1ModuleX</t>
  </si>
  <si>
    <t>VoltageMaxString2</t>
  </si>
  <si>
    <t>VotageMaxString2ModuleX</t>
  </si>
  <si>
    <t>VoltageMaxString3</t>
  </si>
  <si>
    <t>VotageMaxString3ModuleX</t>
  </si>
  <si>
    <t>VoltageAvgSytem</t>
  </si>
  <si>
    <t>VoltageAvgString1</t>
  </si>
  <si>
    <t>VotageAvgString1ModuleX</t>
  </si>
  <si>
    <t>VoltageAvgString2</t>
  </si>
  <si>
    <t>VotageAvgString2ModuleX</t>
  </si>
  <si>
    <t>VoltageAvgString3</t>
  </si>
  <si>
    <t>VotageAvgString3ModuleX</t>
  </si>
  <si>
    <t>Current</t>
  </si>
  <si>
    <t>Current of System,String and Module in Min,Max and Avg</t>
  </si>
  <si>
    <t>A</t>
  </si>
  <si>
    <t>CurrentMinSystem</t>
  </si>
  <si>
    <t>CurrentMinString1</t>
  </si>
  <si>
    <t>CurrentMinString1ModuleX</t>
  </si>
  <si>
    <t>CurrentMinString2</t>
  </si>
  <si>
    <t>CurrentMinString2ModuleX</t>
  </si>
  <si>
    <t>CurrentMinString3</t>
  </si>
  <si>
    <t>CurrentMinString3ModuleX</t>
  </si>
  <si>
    <t>CurrentMaxSystem</t>
  </si>
  <si>
    <t>CurrentMaxString1</t>
  </si>
  <si>
    <t>CurrentMaxString1ModuleX</t>
  </si>
  <si>
    <t>CurrentMaxString2</t>
  </si>
  <si>
    <t>CurrentMaxString2ModuleX</t>
  </si>
  <si>
    <t>CurrentMaxString3</t>
  </si>
  <si>
    <t>CurrentMaxString3ModuleX</t>
  </si>
  <si>
    <t>CurrentAvgSystem</t>
  </si>
  <si>
    <t>CurrentAvgString1</t>
  </si>
  <si>
    <t>CurrentAvgString1ModuleX</t>
  </si>
  <si>
    <t>CurrentAvgString2</t>
  </si>
  <si>
    <t>CurrentAvgString2ModuleX</t>
  </si>
  <si>
    <t>CurrentAvgString3</t>
  </si>
  <si>
    <t>CurrentAvgString3ModuleX</t>
  </si>
  <si>
    <t>SOC - State of Charge</t>
  </si>
  <si>
    <t>SOC of System,String and Module in Min,Max and Avg</t>
  </si>
  <si>
    <t>%</t>
  </si>
  <si>
    <t>SocMinSystem</t>
  </si>
  <si>
    <t>SocMinString1</t>
  </si>
  <si>
    <t>SocMinString1ModuleX</t>
  </si>
  <si>
    <t>SocMinString2</t>
  </si>
  <si>
    <t>SocMinString2ModuleX</t>
  </si>
  <si>
    <t>SocMinString3</t>
  </si>
  <si>
    <t>SocMinString3ModuleX</t>
  </si>
  <si>
    <t>SocMaxSystem</t>
  </si>
  <si>
    <t>SocMaxString1</t>
  </si>
  <si>
    <t>SocMaxString1ModuleX</t>
  </si>
  <si>
    <t>SocMaxString2</t>
  </si>
  <si>
    <t>SocMaxString2ModuleX</t>
  </si>
  <si>
    <t>SocMaxString3</t>
  </si>
  <si>
    <t>SocMaxString3ModuleX</t>
  </si>
  <si>
    <t>SocAvgSystem</t>
  </si>
  <si>
    <t>SocAvgString1</t>
  </si>
  <si>
    <t>SocAvgString1ModuleX</t>
  </si>
  <si>
    <t>SocAvgString2</t>
  </si>
  <si>
    <t>SocAvgString2ModuleX</t>
  </si>
  <si>
    <t>SocAvgString3</t>
  </si>
  <si>
    <t>SocAvgString3ModuleX</t>
  </si>
  <si>
    <t>SOH - State of Health</t>
  </si>
  <si>
    <t>SOH of System,String and Module in Min,Max and Avg</t>
  </si>
  <si>
    <t>SohMinSystem</t>
  </si>
  <si>
    <t>SohMinString1</t>
  </si>
  <si>
    <t>SohMinString1ModuleX</t>
  </si>
  <si>
    <t>SohMinString2</t>
  </si>
  <si>
    <t>SohMinString2ModuleX</t>
  </si>
  <si>
    <t>SohMinString3</t>
  </si>
  <si>
    <t>SohMinString3ModuleX</t>
  </si>
  <si>
    <t>SohMaxSystem</t>
  </si>
  <si>
    <t>SohMaxString1</t>
  </si>
  <si>
    <t>SohMaxString1ModuleX</t>
  </si>
  <si>
    <t>SohMaxString2</t>
  </si>
  <si>
    <t>SohMaxString2ModuleX</t>
  </si>
  <si>
    <t>SohMaxString3</t>
  </si>
  <si>
    <t>SohMaxString3ModuleX</t>
  </si>
  <si>
    <t>SohAvgSystem</t>
  </si>
  <si>
    <t>SohAvgString1</t>
  </si>
  <si>
    <t>SohAvgString1ModuleX</t>
  </si>
  <si>
    <t>SohAvgString2</t>
  </si>
  <si>
    <t>SohAvgString2ModuleX</t>
  </si>
  <si>
    <t>SohAvgString3</t>
  </si>
  <si>
    <t>SohAvgString3ModuleX</t>
  </si>
  <si>
    <t>CurrentLimits</t>
  </si>
  <si>
    <t>Current Limits of System and String depend on Charge and Discharge</t>
  </si>
  <si>
    <t>CurrentLimitDischargeSystem</t>
  </si>
  <si>
    <t>CurrentLimitDischargeString1</t>
  </si>
  <si>
    <t>CurrentLimitDischargeString2</t>
  </si>
  <si>
    <t>CurrentLimitDischargeString3</t>
  </si>
  <si>
    <t>CurrentLimitChargeSystem</t>
  </si>
  <si>
    <t>CurrentLimitChargeString1</t>
  </si>
  <si>
    <t>CurrentLimitChargeString2</t>
  </si>
  <si>
    <t>CurrentLimitChargeString3</t>
  </si>
  <si>
    <t>CapacityTotal</t>
  </si>
  <si>
    <t>Battery Capacity</t>
  </si>
  <si>
    <t>Ah</t>
  </si>
  <si>
    <t>ActivePowerModSetpointString1ModuleX</t>
  </si>
  <si>
    <t>Active power set point for each Module of String 1; for research projects, not commercial use</t>
  </si>
  <si>
    <t>W</t>
  </si>
  <si>
    <t>ActivePowerModSetpointString2ModuleX</t>
  </si>
  <si>
    <t>Active power set point for each Module of String 2; for research projects, not commercial use</t>
  </si>
  <si>
    <t>ActivePowerModSetpointString3ModuleX</t>
  </si>
  <si>
    <t>Active power set point for each Module of String 3; for research projects, not commercial use</t>
  </si>
  <si>
    <t>ActualValuesParamList</t>
  </si>
  <si>
    <t>ActualMainState</t>
  </si>
  <si>
    <t>State of device: Init -&gt; 0, Ready -&gt; 1, Idle -&gt; 2, Run -&gt; 3, Error -&gt; 4, Emergency -&gt; 5, Standby -&gt; 6</t>
  </si>
  <si>
    <t>5000</t>
  </si>
  <si>
    <t/>
  </si>
  <si>
    <t>NumberOfConnectedStablModulesL1</t>
  </si>
  <si>
    <t>Number of connected Stabl Modules on L1</t>
  </si>
  <si>
    <t>cnt</t>
  </si>
  <si>
    <t>16</t>
  </si>
  <si>
    <t>5001</t>
  </si>
  <si>
    <t>NumberOfConnectedStablModulesL2</t>
  </si>
  <si>
    <t>Number of connected Stabl Modules on L2</t>
  </si>
  <si>
    <t>NumberOfConnectedStablModulesL3</t>
  </si>
  <si>
    <t>Number of connected Stabl Modules on L3</t>
  </si>
  <si>
    <t>AcDcActiveGridType</t>
  </si>
  <si>
    <t>Actvie grid type:
0 = grid-tied, 400V, 50Hz
1 = grid-tied, 480V, 60Hz
2 = island mode, 400V, 50Hz
3 = island mode, 480V, 60Hz
4 = grid-tied, 380V, 60Hz</t>
  </si>
  <si>
    <t>ActiveGridCode</t>
  </si>
  <si>
    <t>see register 4010</t>
  </si>
  <si>
    <t>ActualPowerAcL1</t>
  </si>
  <si>
    <t>Active power L1</t>
  </si>
  <si>
    <t>kW</t>
  </si>
  <si>
    <t>0.01</t>
  </si>
  <si>
    <t>5140</t>
  </si>
  <si>
    <t>ActualPowerAcL2</t>
  </si>
  <si>
    <t>Active power L2</t>
  </si>
  <si>
    <t>5141</t>
  </si>
  <si>
    <t>ActualPowerAcL3</t>
  </si>
  <si>
    <t>Active power L3</t>
  </si>
  <si>
    <t>5142</t>
  </si>
  <si>
    <t>ReactivePowerAcL1</t>
  </si>
  <si>
    <t>Reactive power L1</t>
  </si>
  <si>
    <t>kVAR</t>
  </si>
  <si>
    <t>ReactivePowerAcL2</t>
  </si>
  <si>
    <t>Reactive power L2</t>
  </si>
  <si>
    <t>ReactivePowerAcL3</t>
  </si>
  <si>
    <t>Reactive power L3</t>
  </si>
  <si>
    <t>GridVoltageL1</t>
  </si>
  <si>
    <t>Grid voltage RMS L1</t>
  </si>
  <si>
    <t>5160</t>
  </si>
  <si>
    <t>GridVoltageL2</t>
  </si>
  <si>
    <t>Grid voltage RMS L2</t>
  </si>
  <si>
    <t>5161</t>
  </si>
  <si>
    <t>GridVoltageL3</t>
  </si>
  <si>
    <t>Grid voltage RMS L3</t>
  </si>
  <si>
    <t>5162</t>
  </si>
  <si>
    <t>InletAirTemperature</t>
  </si>
  <si>
    <t>Inlet Air temperature</t>
  </si>
  <si>
    <t>mcuCoreTemperature</t>
  </si>
  <si>
    <t>core temperature of Mastercontroller</t>
  </si>
  <si>
    <t>maintainenceMode</t>
  </si>
  <si>
    <t>EMS commands blocked protect the system if remote access is active and system changes are in operation</t>
  </si>
  <si>
    <t>ErrorsAndWarnings</t>
  </si>
  <si>
    <t>TotalWarningsCnt</t>
  </si>
  <si>
    <t>Sum of all pending warnings</t>
  </si>
  <si>
    <t>Count</t>
  </si>
  <si>
    <t>2401</t>
  </si>
  <si>
    <t>Warnings</t>
  </si>
  <si>
    <t>Warning Code of Alarms</t>
  </si>
  <si>
    <t>2403</t>
  </si>
  <si>
    <t>Warning1</t>
  </si>
  <si>
    <t>Warning2</t>
  </si>
  <si>
    <t>2404</t>
  </si>
  <si>
    <t>Warning3</t>
  </si>
  <si>
    <t>2405</t>
  </si>
  <si>
    <t>Warning4</t>
  </si>
  <si>
    <t>2406</t>
  </si>
  <si>
    <t>Warning5</t>
  </si>
  <si>
    <t>2407</t>
  </si>
  <si>
    <t>Warning6</t>
  </si>
  <si>
    <t>2408</t>
  </si>
  <si>
    <t>Warning7</t>
  </si>
  <si>
    <t>2409</t>
  </si>
  <si>
    <t>Warning8</t>
  </si>
  <si>
    <t>2410</t>
  </si>
  <si>
    <t>Warning9</t>
  </si>
  <si>
    <t>2411</t>
  </si>
  <si>
    <t>Warning10</t>
  </si>
  <si>
    <t>2412</t>
  </si>
  <si>
    <t>Warning11</t>
  </si>
  <si>
    <t>2413</t>
  </si>
  <si>
    <t>Warning12</t>
  </si>
  <si>
    <t>2414</t>
  </si>
  <si>
    <t>Warning13</t>
  </si>
  <si>
    <t>2415</t>
  </si>
  <si>
    <t>Warning14</t>
  </si>
  <si>
    <t>2416</t>
  </si>
  <si>
    <t>Warning15</t>
  </si>
  <si>
    <t>2417</t>
  </si>
  <si>
    <t>Warning16</t>
  </si>
  <si>
    <t>2418</t>
  </si>
  <si>
    <t>Warning17</t>
  </si>
  <si>
    <t>2419</t>
  </si>
  <si>
    <t>Warning18</t>
  </si>
  <si>
    <t>2420</t>
  </si>
  <si>
    <t>Warning19</t>
  </si>
  <si>
    <t>2421</t>
  </si>
  <si>
    <t>Warning20</t>
  </si>
  <si>
    <t>2422</t>
  </si>
  <si>
    <t>TotalAlarmsCnt</t>
  </si>
  <si>
    <t>Sum of all pending alarms</t>
  </si>
  <si>
    <t>Alarms</t>
  </si>
  <si>
    <t>Error Code of Alarms</t>
  </si>
  <si>
    <t>2810</t>
  </si>
  <si>
    <t>Alarm1</t>
  </si>
  <si>
    <t>Alarm2</t>
  </si>
  <si>
    <t>2811</t>
  </si>
  <si>
    <t>Alarm3</t>
  </si>
  <si>
    <t>2812</t>
  </si>
  <si>
    <t>Alarm4</t>
  </si>
  <si>
    <t>2813</t>
  </si>
  <si>
    <t>Alarm5</t>
  </si>
  <si>
    <t>2814</t>
  </si>
  <si>
    <t>Alarm6</t>
  </si>
  <si>
    <t>2815</t>
  </si>
  <si>
    <t>Alarm7</t>
  </si>
  <si>
    <t>2816</t>
  </si>
  <si>
    <t>Alarm8</t>
  </si>
  <si>
    <t>2817</t>
  </si>
  <si>
    <t>Alarm9</t>
  </si>
  <si>
    <t>2818</t>
  </si>
  <si>
    <t>Alarm10</t>
  </si>
  <si>
    <t>2819</t>
  </si>
  <si>
    <t>Alarm11</t>
  </si>
  <si>
    <t>2820</t>
  </si>
  <si>
    <t>Alarm12</t>
  </si>
  <si>
    <t>2821</t>
  </si>
  <si>
    <t>Alarm13</t>
  </si>
  <si>
    <t>2822</t>
  </si>
  <si>
    <t>Alarm14</t>
  </si>
  <si>
    <t>2823</t>
  </si>
  <si>
    <t>Alarm15</t>
  </si>
  <si>
    <t>2824</t>
  </si>
  <si>
    <t>Alarm16</t>
  </si>
  <si>
    <t>2825</t>
  </si>
  <si>
    <t>Alarm17</t>
  </si>
  <si>
    <t>2826</t>
  </si>
  <si>
    <t>Alarm18</t>
  </si>
  <si>
    <t>2827</t>
  </si>
  <si>
    <t>Alarm19</t>
  </si>
  <si>
    <t>2828</t>
  </si>
  <si>
    <t>Alarm20</t>
  </si>
  <si>
    <t>2829</t>
  </si>
  <si>
    <t>nsProtectionErrorCode</t>
  </si>
  <si>
    <t xml:space="preserve">Error Code of NS Protection </t>
  </si>
  <si>
    <t>number</t>
  </si>
  <si>
    <t>Fehlercode Darstellung im EMS Fehlerspeicher</t>
  </si>
  <si>
    <t>Beschreibung:</t>
  </si>
  <si>
    <t>Die Fehlercodes werden durch eine Maske erzeugt diese Maske enthällt auf welcher Phase sich der Fehler aufgetreten ist, auf welchem Modul und welcher Art</t>
  </si>
  <si>
    <t>Die Art des Fehlers kann nach nachstehenden tabelle entnommen werden. Diese kann und wird später mit weiteren Codes erweitert.</t>
  </si>
  <si>
    <t>Berechnungsformel:</t>
  </si>
  <si>
    <r>
      <t>FehlerCode= (</t>
    </r>
    <r>
      <rPr>
        <b/>
        <sz val="11"/>
        <color rgb="FFFF0000"/>
        <rFont val="Calibri"/>
        <family val="2"/>
      </rPr>
      <t>Phase</t>
    </r>
    <r>
      <rPr>
        <sz val="11"/>
        <color rgb="FF000000"/>
        <rFont val="Calibri"/>
        <family val="2"/>
      </rPr>
      <t xml:space="preserve"> * 10000) + (</t>
    </r>
    <r>
      <rPr>
        <b/>
        <sz val="11"/>
        <color rgb="FFFF0000"/>
        <rFont val="Calibri"/>
        <family val="2"/>
      </rPr>
      <t>Modul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* 100) + </t>
    </r>
    <r>
      <rPr>
        <b/>
        <sz val="11"/>
        <color rgb="FFFF0000"/>
        <rFont val="Calibri"/>
        <family val="2"/>
      </rPr>
      <t>Code</t>
    </r>
  </si>
  <si>
    <t>Code</t>
  </si>
  <si>
    <t>Beschreibung</t>
  </si>
  <si>
    <t>Ursachen</t>
  </si>
  <si>
    <t xml:space="preserve">Auswirkung </t>
  </si>
  <si>
    <t xml:space="preserve">Maßnahme </t>
  </si>
  <si>
    <t>Priortät</t>
  </si>
  <si>
    <t>BMS Zellspannung zu niedrig</t>
  </si>
  <si>
    <t> </t>
  </si>
  <si>
    <t>BMS Zellspannung zu hoch</t>
  </si>
  <si>
    <t>Batterie Kurzschluss/Kontaktverlust</t>
  </si>
  <si>
    <t>Batterie Modulspannung zu niedrig</t>
  </si>
  <si>
    <t>Batterie Modulspannung zu hoch</t>
  </si>
  <si>
    <t>Überstrom</t>
  </si>
  <si>
    <t>BMS Zelltemperatur zu niedrig</t>
  </si>
  <si>
    <t>BMS Zelltemperatur zu hoch</t>
  </si>
  <si>
    <t>Leistungselekttronik Temperatur zu hoch</t>
  </si>
  <si>
    <t>Fehler Modul Strommessung</t>
  </si>
  <si>
    <t>BMS nicht erkannt</t>
  </si>
  <si>
    <t>BMS Daten nicht valide</t>
  </si>
  <si>
    <t>BMS Fehler Zustand</t>
  </si>
  <si>
    <t>Watchdog auslösung HW</t>
  </si>
  <si>
    <t>Watchdog auslösung CAN</t>
  </si>
  <si>
    <t>Watchdog auslösung UOC</t>
  </si>
  <si>
    <t>Mosfet Treiber Fehler Zustand</t>
  </si>
  <si>
    <t>Mosfet Treiber Fehler Batterie</t>
  </si>
  <si>
    <t xml:space="preserve">Digital Spannungsversorgung zu gering </t>
  </si>
  <si>
    <t xml:space="preserve">Analog Spannungsversorgung zu gering </t>
  </si>
  <si>
    <t xml:space="preserve">5V Spannungsversorgung zu gering </t>
  </si>
  <si>
    <t>Beispiel:</t>
  </si>
  <si>
    <r>
      <t>Zellspannung zu niedrig auf Modul 3 auf Phase 2 =&gt;</t>
    </r>
    <r>
      <rPr>
        <b/>
        <sz val="11"/>
        <color rgb="FFFF0000"/>
        <rFont val="Calibri"/>
        <family val="2"/>
      </rPr>
      <t xml:space="preserve"> FehlerCode 20301</t>
    </r>
  </si>
  <si>
    <r>
      <t xml:space="preserve">NA-Schutz Fehlercode Holding Register </t>
    </r>
    <r>
      <rPr>
        <b/>
        <sz val="20"/>
        <color rgb="FFFF0000"/>
        <rFont val="Calibri"/>
        <family val="2"/>
        <scheme val="minor"/>
      </rPr>
      <t>3000</t>
    </r>
  </si>
  <si>
    <t>Kommentare</t>
  </si>
  <si>
    <r>
      <t>setzt den timeout für EMS anfragen bis das System in den Fehler geht</t>
    </r>
    <r>
      <rPr>
        <b/>
        <sz val="11"/>
        <color rgb="FFFF0000"/>
        <rFont val="Calibri"/>
        <family val="2"/>
        <scheme val="minor"/>
      </rPr>
      <t xml:space="preserve"> (Immer das erste Register was zu schreiben ist)</t>
    </r>
  </si>
  <si>
    <t>startet das System neu</t>
  </si>
  <si>
    <t>mit dem Netz verbinden 1 von Idle über ready zu run; 0 von run über ready zu idle</t>
  </si>
  <si>
    <t xml:space="preserve">Grid type:
0 = grid-tied, 400V, 50Hz
2 = island mode, 400V, 50Hz
</t>
  </si>
  <si>
    <t>setzen des Modus 0 oder 2 sind hier relevant. (Möglich nur im Idle state)</t>
  </si>
  <si>
    <t>Leistungsvorgabe Symetrisch 1/3 pro Phase</t>
  </si>
  <si>
    <t>kleinster SOC im System</t>
  </si>
  <si>
    <t>größter SOC im System</t>
  </si>
  <si>
    <t>Mittlerer SOC im System</t>
  </si>
  <si>
    <t>System gibt an mit wieviel Ampere entladen werden darf</t>
  </si>
  <si>
    <t>System gibt an mit wieviel Ampere geladen werden darf</t>
  </si>
  <si>
    <t>Systemzustände. Wenn System startet ist es im Init. Ist die Init erfolgreich ist das System im Idle. Falls nicht im Error. Im Error muss ein SoftwareReset durchgeführt werden (Register 1017)</t>
  </si>
  <si>
    <t xml:space="preserve">Actvie grid type:
0 = grid-tied, 400V, 50Hz
2 = island mode, 400V, 50Hz
</t>
  </si>
  <si>
    <t>lese register in welchem Modus sich das System befindet Grid oder Island Modus</t>
  </si>
  <si>
    <t>Leistung auf Phase 1</t>
  </si>
  <si>
    <t>Leistung auf Phase 2</t>
  </si>
  <si>
    <t>Leistung auf Phase 3</t>
  </si>
  <si>
    <t>Spannung Grid Phase 1</t>
  </si>
  <si>
    <t>Spannung Grid Phase 3</t>
  </si>
  <si>
    <t>Temperatur in der Netzanschlussbox</t>
  </si>
  <si>
    <t>Temperatur Haupteinheit</t>
  </si>
  <si>
    <t>Anzahl der aufgetretenden Fehler</t>
  </si>
  <si>
    <t>Buffer für Fehlercodes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</si>
</sst>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44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3" xfId="0" applyFont="1" applyBorder="1"/>
    <xf numFmtId="0" fontId="1" fillId="0" borderId="0" xfId="0" applyFont="1"/>
    <xf numFmtId="49" fontId="0" fillId="0" borderId="0" xfId="0" applyNumberFormat="1"/>
    <xf numFmtId="49" fontId="1" fillId="0" borderId="1" xfId="0" applyNumberFormat="1" applyFont="1" applyBorder="1"/>
    <xf numFmtId="49" fontId="0" fillId="0" borderId="0" xfId="0" applyNumberFormat="1" applyAlignment="1">
      <alignment vertical="top"/>
    </xf>
    <xf numFmtId="49" fontId="1" fillId="0" borderId="0" xfId="0" applyNumberFormat="1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4" fillId="0" borderId="0" xfId="0" applyFont="1"/>
    <xf numFmtId="14" fontId="1" fillId="0" borderId="0" xfId="0" applyNumberFormat="1" applyFont="1"/>
    <xf numFmtId="0" fontId="2" fillId="0" borderId="0" xfId="1" applyFill="1"/>
    <xf numFmtId="0" fontId="0" fillId="0" borderId="2" xfId="0" applyBorder="1"/>
    <xf numFmtId="0" fontId="5" fillId="0" borderId="0" xfId="2" applyFill="1"/>
    <xf numFmtId="0" fontId="6" fillId="0" borderId="0" xfId="0" applyFont="1"/>
    <xf numFmtId="0" fontId="0" fillId="3" borderId="0" xfId="0" applyFill="1"/>
    <xf numFmtId="49" fontId="0" fillId="3" borderId="0" xfId="0" applyNumberFormat="1" applyFill="1"/>
    <xf numFmtId="0" fontId="7" fillId="0" borderId="0" xfId="0" applyFont="1"/>
    <xf numFmtId="0" fontId="6" fillId="0" borderId="0" xfId="0" applyFont="1" applyAlignment="1">
      <alignment wrapText="1"/>
    </xf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right"/>
    </xf>
    <xf numFmtId="49" fontId="0" fillId="4" borderId="0" xfId="0" applyNumberFormat="1" applyFill="1"/>
    <xf numFmtId="0" fontId="5" fillId="4" borderId="0" xfId="2" applyFill="1"/>
    <xf numFmtId="0" fontId="6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0" fillId="5" borderId="0" xfId="0" applyFill="1"/>
    <xf numFmtId="0" fontId="0" fillId="0" borderId="0" xfId="0" applyAlignment="1">
      <alignment horizontal="left"/>
    </xf>
    <xf numFmtId="0" fontId="5" fillId="0" borderId="0" xfId="2" applyFill="1" applyAlignment="1">
      <alignment wrapText="1"/>
    </xf>
    <xf numFmtId="0" fontId="1" fillId="0" borderId="2" xfId="0" applyFont="1" applyBorder="1" applyAlignment="1">
      <alignment wrapText="1"/>
    </xf>
    <xf numFmtId="0" fontId="0" fillId="6" borderId="0" xfId="0" applyFill="1"/>
    <xf numFmtId="49" fontId="0" fillId="5" borderId="0" xfId="0" applyNumberFormat="1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0" fontId="5" fillId="5" borderId="0" xfId="2" applyFill="1"/>
  </cellXfs>
  <cellStyles count="3">
    <cellStyle name="Gut" xfId="2" builtinId="26"/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</xdr:row>
      <xdr:rowOff>85725</xdr:rowOff>
    </xdr:from>
    <xdr:to>
      <xdr:col>11</xdr:col>
      <xdr:colOff>239564</xdr:colOff>
      <xdr:row>52</xdr:row>
      <xdr:rowOff>19050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86C76C2-E138-7134-4CC7-3D3FC2BF3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57225"/>
          <a:ext cx="8545364" cy="926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simn.com/CSI_pages/Modbus10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211"/>
  <sheetViews>
    <sheetView tabSelected="1" zoomScaleNormal="100" workbookViewId="0">
      <pane ySplit="6" topLeftCell="A129" activePane="bottomLeft" state="frozen"/>
      <selection pane="bottomLeft" activeCell="B155" sqref="B155"/>
    </sheetView>
  </sheetViews>
  <sheetFormatPr baseColWidth="10" defaultColWidth="8.83203125" defaultRowHeight="15" outlineLevelRow="1" x14ac:dyDescent="0.2"/>
  <cols>
    <col min="1" max="1" width="13.1640625" bestFit="1" customWidth="1"/>
    <col min="2" max="2" width="35.6640625" customWidth="1"/>
    <col min="3" max="3" width="76.5" bestFit="1" customWidth="1"/>
    <col min="4" max="4" width="15.6640625" customWidth="1"/>
    <col min="5" max="5" width="10.83203125" bestFit="1" customWidth="1"/>
    <col min="6" max="6" width="11.5" bestFit="1" customWidth="1"/>
    <col min="7" max="9" width="12.6640625" customWidth="1"/>
    <col min="10" max="10" width="13" bestFit="1" customWidth="1"/>
    <col min="11" max="11" width="23" customWidth="1"/>
    <col min="12" max="12" width="8.5" bestFit="1" customWidth="1"/>
    <col min="13" max="13" width="10.5" style="5" customWidth="1"/>
    <col min="14" max="14" width="4.6640625" style="5" bestFit="1" customWidth="1"/>
  </cols>
  <sheetData>
    <row r="2" spans="1:20" ht="26" x14ac:dyDescent="0.3">
      <c r="B2" s="12" t="s">
        <v>0</v>
      </c>
      <c r="D2" s="4" t="s">
        <v>1</v>
      </c>
      <c r="E2" s="13">
        <f ca="1">TODAY()</f>
        <v>45729</v>
      </c>
    </row>
    <row r="3" spans="1:20" x14ac:dyDescent="0.2">
      <c r="P3" s="14" t="s">
        <v>2</v>
      </c>
    </row>
    <row r="6" spans="1:20" x14ac:dyDescent="0.2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6" t="s">
        <v>15</v>
      </c>
      <c r="N6" s="6" t="s">
        <v>16</v>
      </c>
      <c r="O6" s="1" t="s">
        <v>17</v>
      </c>
      <c r="P6" s="15"/>
    </row>
    <row r="7" spans="1:20" x14ac:dyDescent="0.2">
      <c r="A7" s="1"/>
      <c r="B7" s="1" t="s">
        <v>18</v>
      </c>
      <c r="C7" s="1"/>
      <c r="D7" s="1"/>
      <c r="E7" s="1"/>
      <c r="F7" s="1"/>
      <c r="G7" s="1"/>
      <c r="H7" s="1"/>
      <c r="I7" s="1"/>
      <c r="J7" s="1"/>
      <c r="K7" s="1"/>
      <c r="L7" s="1"/>
      <c r="M7" s="6"/>
      <c r="N7" s="6"/>
      <c r="O7" s="1"/>
      <c r="P7" s="15"/>
    </row>
    <row r="8" spans="1:20" x14ac:dyDescent="0.2">
      <c r="B8" s="17" t="s">
        <v>19</v>
      </c>
      <c r="C8" s="17" t="s">
        <v>20</v>
      </c>
      <c r="D8" t="s">
        <v>21</v>
      </c>
      <c r="E8" t="s">
        <v>22</v>
      </c>
      <c r="F8">
        <v>120</v>
      </c>
      <c r="G8">
        <v>0</v>
      </c>
      <c r="H8" s="17">
        <v>3600</v>
      </c>
      <c r="I8" t="s">
        <v>23</v>
      </c>
      <c r="J8" s="9" t="s">
        <v>24</v>
      </c>
      <c r="K8" t="s">
        <v>25</v>
      </c>
      <c r="L8" s="9" t="s">
        <v>26</v>
      </c>
      <c r="M8" s="5" t="s">
        <v>27</v>
      </c>
      <c r="N8" s="5" t="s">
        <v>28</v>
      </c>
      <c r="O8" t="s">
        <v>29</v>
      </c>
    </row>
    <row r="9" spans="1:20" x14ac:dyDescent="0.2">
      <c r="B9" s="23" t="s">
        <v>30</v>
      </c>
      <c r="C9" s="23" t="s">
        <v>31</v>
      </c>
      <c r="D9" s="23" t="s">
        <v>32</v>
      </c>
      <c r="E9" s="23" t="s">
        <v>22</v>
      </c>
      <c r="F9" s="24" t="s">
        <v>33</v>
      </c>
      <c r="G9" s="24" t="s">
        <v>33</v>
      </c>
      <c r="H9" s="24" t="s">
        <v>26</v>
      </c>
      <c r="I9" s="23" t="s">
        <v>23</v>
      </c>
      <c r="J9" s="24" t="s">
        <v>34</v>
      </c>
      <c r="K9" s="23" t="s">
        <v>25</v>
      </c>
      <c r="L9" s="24" t="s">
        <v>26</v>
      </c>
      <c r="M9" s="25"/>
      <c r="N9" s="25" t="s">
        <v>28</v>
      </c>
      <c r="O9" s="23" t="s">
        <v>35</v>
      </c>
      <c r="P9" s="16"/>
      <c r="R9" s="18"/>
      <c r="T9" t="s">
        <v>36</v>
      </c>
    </row>
    <row r="10" spans="1:20" x14ac:dyDescent="0.2">
      <c r="A10" s="23"/>
      <c r="B10" t="s">
        <v>37</v>
      </c>
      <c r="C10" t="s">
        <v>38</v>
      </c>
      <c r="D10" t="s">
        <v>32</v>
      </c>
      <c r="E10" t="s">
        <v>22</v>
      </c>
      <c r="F10">
        <v>0</v>
      </c>
      <c r="G10">
        <v>0</v>
      </c>
      <c r="H10">
        <v>1</v>
      </c>
      <c r="I10" t="s">
        <v>23</v>
      </c>
      <c r="J10" s="9">
        <v>1018</v>
      </c>
      <c r="K10" t="s">
        <v>25</v>
      </c>
      <c r="L10" s="9">
        <v>1</v>
      </c>
      <c r="M10" s="5" t="s">
        <v>27</v>
      </c>
      <c r="N10" s="5" t="s">
        <v>28</v>
      </c>
      <c r="O10" t="s">
        <v>29</v>
      </c>
      <c r="P10" s="16"/>
      <c r="R10" s="35"/>
      <c r="T10" t="s">
        <v>39</v>
      </c>
    </row>
    <row r="11" spans="1:20" x14ac:dyDescent="0.2">
      <c r="B11" t="s">
        <v>40</v>
      </c>
      <c r="C11" t="s">
        <v>41</v>
      </c>
      <c r="D11" t="s">
        <v>32</v>
      </c>
      <c r="I11" t="s">
        <v>23</v>
      </c>
      <c r="J11" s="9">
        <v>2050</v>
      </c>
      <c r="K11" t="s">
        <v>25</v>
      </c>
      <c r="L11" s="9">
        <v>2</v>
      </c>
      <c r="M11" s="5" t="s">
        <v>42</v>
      </c>
      <c r="O11" t="s">
        <v>43</v>
      </c>
      <c r="P11" s="16"/>
      <c r="R11" s="39"/>
      <c r="T11" t="s">
        <v>44</v>
      </c>
    </row>
    <row r="12" spans="1:20" ht="16" thickBot="1" x14ac:dyDescent="0.25">
      <c r="B12" t="s">
        <v>45</v>
      </c>
      <c r="C12" t="s">
        <v>46</v>
      </c>
      <c r="D12" t="s">
        <v>32</v>
      </c>
      <c r="I12" t="s">
        <v>23</v>
      </c>
      <c r="J12" s="9">
        <v>2052</v>
      </c>
      <c r="K12" t="s">
        <v>25</v>
      </c>
      <c r="L12" s="9">
        <v>2</v>
      </c>
      <c r="M12" s="5" t="s">
        <v>42</v>
      </c>
      <c r="O12" t="s">
        <v>43</v>
      </c>
      <c r="P12" s="16"/>
    </row>
    <row r="13" spans="1:20" ht="16" thickBot="1" x14ac:dyDescent="0.25">
      <c r="A13" s="1"/>
      <c r="B13" s="1" t="s">
        <v>47</v>
      </c>
      <c r="C13" s="1"/>
      <c r="D13" s="1"/>
      <c r="E13" s="1"/>
      <c r="F13" s="1"/>
      <c r="G13" s="1"/>
      <c r="H13" s="1"/>
      <c r="I13" s="1"/>
      <c r="J13" s="1"/>
      <c r="K13" s="1"/>
      <c r="L13" s="11"/>
      <c r="M13" s="6"/>
      <c r="N13" s="6"/>
      <c r="O13" s="1"/>
      <c r="P13" s="15"/>
    </row>
    <row r="14" spans="1:20" x14ac:dyDescent="0.2">
      <c r="F14" s="9"/>
      <c r="G14" s="9"/>
      <c r="H14" s="9"/>
      <c r="J14" s="9"/>
      <c r="L14" s="9"/>
    </row>
    <row r="15" spans="1:20" s="23" customFormat="1" x14ac:dyDescent="0.2">
      <c r="B15" s="23" t="s">
        <v>48</v>
      </c>
      <c r="C15" s="23" t="s">
        <v>49</v>
      </c>
      <c r="D15" s="23" t="s">
        <v>32</v>
      </c>
      <c r="E15" s="23" t="s">
        <v>22</v>
      </c>
      <c r="F15" s="24" t="s">
        <v>33</v>
      </c>
      <c r="G15" s="24" t="s">
        <v>33</v>
      </c>
      <c r="H15" s="24" t="s">
        <v>26</v>
      </c>
      <c r="I15" s="23" t="s">
        <v>23</v>
      </c>
      <c r="J15" s="24" t="s">
        <v>50</v>
      </c>
      <c r="K15" s="23" t="s">
        <v>25</v>
      </c>
      <c r="L15" s="24" t="s">
        <v>26</v>
      </c>
      <c r="M15" s="25" t="s">
        <v>27</v>
      </c>
      <c r="N15" s="25" t="s">
        <v>28</v>
      </c>
      <c r="O15" s="23" t="s">
        <v>29</v>
      </c>
      <c r="P15" s="26"/>
    </row>
    <row r="16" spans="1:20" x14ac:dyDescent="0.2">
      <c r="F16" s="9"/>
      <c r="G16" s="9"/>
      <c r="H16" s="9"/>
      <c r="J16" s="9"/>
      <c r="L16" s="9"/>
    </row>
    <row r="17" spans="1:16" s="23" customFormat="1" x14ac:dyDescent="0.2">
      <c r="B17" s="23" t="s">
        <v>51</v>
      </c>
      <c r="C17" s="23" t="s">
        <v>52</v>
      </c>
      <c r="D17" s="23" t="s">
        <v>32</v>
      </c>
      <c r="E17" s="23" t="s">
        <v>22</v>
      </c>
      <c r="F17" s="24" t="s">
        <v>33</v>
      </c>
      <c r="G17" s="24" t="s">
        <v>33</v>
      </c>
      <c r="H17" s="24" t="s">
        <v>26</v>
      </c>
      <c r="I17" s="23" t="s">
        <v>23</v>
      </c>
      <c r="J17" s="24" t="s">
        <v>53</v>
      </c>
      <c r="K17" s="23" t="s">
        <v>25</v>
      </c>
      <c r="L17" s="24" t="s">
        <v>26</v>
      </c>
      <c r="M17" s="25" t="s">
        <v>27</v>
      </c>
      <c r="N17" s="25" t="s">
        <v>28</v>
      </c>
      <c r="O17" s="23" t="s">
        <v>29</v>
      </c>
      <c r="P17" s="26"/>
    </row>
    <row r="18" spans="1:16" ht="64" x14ac:dyDescent="0.2">
      <c r="B18" t="s">
        <v>54</v>
      </c>
      <c r="C18" s="2" t="s">
        <v>55</v>
      </c>
      <c r="D18" t="s">
        <v>32</v>
      </c>
      <c r="E18" t="s">
        <v>22</v>
      </c>
      <c r="F18" s="9" t="s">
        <v>33</v>
      </c>
      <c r="G18" s="9" t="s">
        <v>33</v>
      </c>
      <c r="H18" s="9" t="s">
        <v>56</v>
      </c>
      <c r="I18" t="s">
        <v>23</v>
      </c>
      <c r="J18" s="9" t="s">
        <v>57</v>
      </c>
      <c r="K18" t="s">
        <v>25</v>
      </c>
      <c r="L18" s="9" t="s">
        <v>26</v>
      </c>
      <c r="M18" s="5" t="s">
        <v>27</v>
      </c>
      <c r="N18" s="5" t="s">
        <v>28</v>
      </c>
      <c r="O18" t="s">
        <v>29</v>
      </c>
    </row>
    <row r="19" spans="1:16" x14ac:dyDescent="0.2">
      <c r="B19" t="s">
        <v>58</v>
      </c>
      <c r="C19" t="s">
        <v>59</v>
      </c>
      <c r="D19" t="s">
        <v>32</v>
      </c>
      <c r="E19" t="s">
        <v>22</v>
      </c>
      <c r="F19">
        <v>0</v>
      </c>
      <c r="G19">
        <v>0</v>
      </c>
      <c r="H19">
        <v>0</v>
      </c>
      <c r="I19" t="s">
        <v>23</v>
      </c>
      <c r="J19" s="9">
        <v>4010</v>
      </c>
      <c r="K19" t="s">
        <v>25</v>
      </c>
      <c r="L19" s="9">
        <v>1</v>
      </c>
      <c r="M19" s="5" t="s">
        <v>27</v>
      </c>
      <c r="N19" s="5" t="s">
        <v>28</v>
      </c>
      <c r="O19" t="s">
        <v>29</v>
      </c>
    </row>
    <row r="20" spans="1:16" x14ac:dyDescent="0.2">
      <c r="B20" t="s">
        <v>60</v>
      </c>
      <c r="C20" t="s">
        <v>61</v>
      </c>
      <c r="D20" t="s">
        <v>62</v>
      </c>
      <c r="E20" s="36" t="s">
        <v>63</v>
      </c>
      <c r="F20" s="9" t="s">
        <v>33</v>
      </c>
      <c r="G20" s="9">
        <v>-6750</v>
      </c>
      <c r="H20" s="9">
        <v>6750</v>
      </c>
      <c r="I20" t="s">
        <v>64</v>
      </c>
      <c r="J20" s="9" t="s">
        <v>65</v>
      </c>
      <c r="K20" t="s">
        <v>25</v>
      </c>
      <c r="L20" s="9" t="s">
        <v>26</v>
      </c>
      <c r="M20" s="5" t="s">
        <v>27</v>
      </c>
      <c r="N20" s="5" t="s">
        <v>28</v>
      </c>
      <c r="O20" t="s">
        <v>29</v>
      </c>
      <c r="P20" s="16"/>
    </row>
    <row r="21" spans="1:16" s="35" customFormat="1" x14ac:dyDescent="0.2">
      <c r="B21" s="35" t="s">
        <v>66</v>
      </c>
      <c r="D21" s="40" t="s">
        <v>32</v>
      </c>
      <c r="E21" s="41" t="s">
        <v>67</v>
      </c>
      <c r="F21" s="42">
        <v>1000</v>
      </c>
      <c r="G21" s="42">
        <v>-1000</v>
      </c>
      <c r="H21" s="42">
        <v>1000</v>
      </c>
      <c r="I21" s="35" t="s">
        <v>64</v>
      </c>
      <c r="J21" s="42">
        <v>4196</v>
      </c>
      <c r="K21" s="35" t="s">
        <v>25</v>
      </c>
      <c r="L21" s="42">
        <v>1</v>
      </c>
      <c r="M21" s="40" t="s">
        <v>27</v>
      </c>
      <c r="N21" s="40" t="s">
        <v>28</v>
      </c>
      <c r="O21" s="35" t="s">
        <v>29</v>
      </c>
      <c r="P21" s="43"/>
    </row>
    <row r="22" spans="1:16" ht="16" thickBot="1" x14ac:dyDescent="0.25">
      <c r="B22" s="27" t="s">
        <v>68</v>
      </c>
      <c r="C22" s="27" t="s">
        <v>69</v>
      </c>
      <c r="D22" t="s">
        <v>70</v>
      </c>
      <c r="E22" t="s">
        <v>67</v>
      </c>
      <c r="F22">
        <v>0</v>
      </c>
      <c r="G22">
        <v>0</v>
      </c>
      <c r="H22">
        <v>2000</v>
      </c>
      <c r="I22" t="s">
        <v>64</v>
      </c>
      <c r="J22" s="9">
        <v>4222</v>
      </c>
      <c r="K22" t="s">
        <v>25</v>
      </c>
      <c r="L22" s="9">
        <v>1</v>
      </c>
      <c r="M22" s="5" t="s">
        <v>27</v>
      </c>
      <c r="N22" s="5" t="s">
        <v>28</v>
      </c>
      <c r="O22" t="s">
        <v>29</v>
      </c>
      <c r="P22" s="16"/>
    </row>
    <row r="23" spans="1:16" ht="16" thickBot="1" x14ac:dyDescent="0.25">
      <c r="A23" s="1"/>
      <c r="B23" s="1" t="s">
        <v>71</v>
      </c>
      <c r="C23" s="1"/>
      <c r="D23" s="1"/>
      <c r="E23" s="1"/>
      <c r="F23" s="1"/>
      <c r="G23" s="1"/>
      <c r="H23" s="1"/>
      <c r="I23" s="1"/>
      <c r="J23" s="1"/>
      <c r="K23" s="1"/>
      <c r="L23" s="11"/>
      <c r="M23" s="6"/>
      <c r="N23" s="6"/>
      <c r="O23" s="3"/>
    </row>
    <row r="24" spans="1:16" x14ac:dyDescent="0.2">
      <c r="A24" s="4"/>
      <c r="B24" s="4" t="s">
        <v>72</v>
      </c>
      <c r="C24" t="s">
        <v>73</v>
      </c>
      <c r="D24" t="s">
        <v>74</v>
      </c>
      <c r="E24">
        <v>0.01</v>
      </c>
      <c r="F24">
        <v>0</v>
      </c>
      <c r="G24">
        <v>-10000</v>
      </c>
      <c r="H24">
        <v>20000</v>
      </c>
      <c r="I24" t="s">
        <v>64</v>
      </c>
      <c r="J24" s="4">
        <f>J25</f>
        <v>6000</v>
      </c>
      <c r="K24" t="s">
        <v>25</v>
      </c>
      <c r="L24" s="10">
        <f>SUM(L25:L45)</f>
        <v>192</v>
      </c>
      <c r="M24" s="7" t="s">
        <v>27</v>
      </c>
      <c r="O24" t="s">
        <v>43</v>
      </c>
    </row>
    <row r="25" spans="1:16" outlineLevel="1" x14ac:dyDescent="0.2">
      <c r="B25" t="s">
        <v>75</v>
      </c>
      <c r="D25" t="s">
        <v>74</v>
      </c>
      <c r="E25">
        <v>0.01</v>
      </c>
      <c r="F25">
        <v>0</v>
      </c>
      <c r="G25">
        <v>-10000</v>
      </c>
      <c r="H25">
        <v>20000</v>
      </c>
      <c r="I25" t="s">
        <v>64</v>
      </c>
      <c r="J25">
        <v>6000</v>
      </c>
      <c r="K25" t="s">
        <v>25</v>
      </c>
      <c r="L25" s="9">
        <v>1</v>
      </c>
      <c r="M25" s="7" t="s">
        <v>27</v>
      </c>
      <c r="O25" t="s">
        <v>43</v>
      </c>
    </row>
    <row r="26" spans="1:16" outlineLevel="1" x14ac:dyDescent="0.2">
      <c r="B26" t="s">
        <v>76</v>
      </c>
      <c r="D26" t="s">
        <v>74</v>
      </c>
      <c r="E26">
        <v>0.01</v>
      </c>
      <c r="F26">
        <v>0</v>
      </c>
      <c r="G26">
        <v>-10000</v>
      </c>
      <c r="H26">
        <v>20000</v>
      </c>
      <c r="I26" t="s">
        <v>64</v>
      </c>
      <c r="J26">
        <f>J25+L25</f>
        <v>6001</v>
      </c>
      <c r="K26" t="s">
        <v>25</v>
      </c>
      <c r="L26" s="9">
        <v>1</v>
      </c>
      <c r="M26" s="7" t="s">
        <v>27</v>
      </c>
      <c r="O26" t="s">
        <v>43</v>
      </c>
    </row>
    <row r="27" spans="1:16" outlineLevel="1" x14ac:dyDescent="0.2">
      <c r="B27" t="s">
        <v>77</v>
      </c>
      <c r="D27" t="s">
        <v>74</v>
      </c>
      <c r="E27">
        <v>0.01</v>
      </c>
      <c r="F27">
        <v>0</v>
      </c>
      <c r="G27">
        <v>-10000</v>
      </c>
      <c r="H27">
        <v>20000</v>
      </c>
      <c r="I27" t="s">
        <v>64</v>
      </c>
      <c r="J27">
        <f t="shared" ref="J27:J45" si="0">J26+L26</f>
        <v>6002</v>
      </c>
      <c r="K27" t="s">
        <v>25</v>
      </c>
      <c r="L27" s="9">
        <v>20</v>
      </c>
      <c r="M27" s="7" t="s">
        <v>27</v>
      </c>
      <c r="O27" t="s">
        <v>43</v>
      </c>
    </row>
    <row r="28" spans="1:16" outlineLevel="1" x14ac:dyDescent="0.2">
      <c r="B28" t="s">
        <v>78</v>
      </c>
      <c r="D28" t="s">
        <v>74</v>
      </c>
      <c r="E28">
        <v>0.01</v>
      </c>
      <c r="F28">
        <v>0</v>
      </c>
      <c r="G28">
        <v>-10000</v>
      </c>
      <c r="H28">
        <v>20000</v>
      </c>
      <c r="I28" t="s">
        <v>64</v>
      </c>
      <c r="J28">
        <f t="shared" si="0"/>
        <v>6022</v>
      </c>
      <c r="K28" t="s">
        <v>25</v>
      </c>
      <c r="L28" s="9">
        <v>1</v>
      </c>
      <c r="M28" s="7" t="s">
        <v>27</v>
      </c>
      <c r="O28" t="s">
        <v>43</v>
      </c>
    </row>
    <row r="29" spans="1:16" outlineLevel="1" x14ac:dyDescent="0.2">
      <c r="B29" t="s">
        <v>79</v>
      </c>
      <c r="D29" t="s">
        <v>74</v>
      </c>
      <c r="E29">
        <v>0.01</v>
      </c>
      <c r="F29">
        <v>0</v>
      </c>
      <c r="G29">
        <v>-10000</v>
      </c>
      <c r="H29">
        <v>20000</v>
      </c>
      <c r="I29" t="s">
        <v>64</v>
      </c>
      <c r="J29">
        <f t="shared" si="0"/>
        <v>6023</v>
      </c>
      <c r="K29" t="s">
        <v>25</v>
      </c>
      <c r="L29" s="9">
        <v>20</v>
      </c>
      <c r="M29" s="7" t="s">
        <v>27</v>
      </c>
      <c r="O29" t="s">
        <v>43</v>
      </c>
    </row>
    <row r="30" spans="1:16" outlineLevel="1" x14ac:dyDescent="0.2">
      <c r="B30" t="s">
        <v>80</v>
      </c>
      <c r="D30" t="s">
        <v>74</v>
      </c>
      <c r="E30">
        <v>0.01</v>
      </c>
      <c r="F30">
        <v>0</v>
      </c>
      <c r="G30">
        <v>-10000</v>
      </c>
      <c r="H30">
        <v>20000</v>
      </c>
      <c r="I30" t="s">
        <v>64</v>
      </c>
      <c r="J30">
        <f t="shared" si="0"/>
        <v>6043</v>
      </c>
      <c r="K30" t="s">
        <v>25</v>
      </c>
      <c r="L30" s="9">
        <v>1</v>
      </c>
      <c r="M30" s="7" t="s">
        <v>27</v>
      </c>
      <c r="O30" t="s">
        <v>43</v>
      </c>
    </row>
    <row r="31" spans="1:16" outlineLevel="1" x14ac:dyDescent="0.2">
      <c r="B31" t="s">
        <v>81</v>
      </c>
      <c r="D31" t="s">
        <v>74</v>
      </c>
      <c r="E31">
        <v>0.01</v>
      </c>
      <c r="F31">
        <v>0</v>
      </c>
      <c r="G31">
        <v>-10000</v>
      </c>
      <c r="H31">
        <v>20000</v>
      </c>
      <c r="I31" t="s">
        <v>64</v>
      </c>
      <c r="J31">
        <f t="shared" si="0"/>
        <v>6044</v>
      </c>
      <c r="K31" t="s">
        <v>25</v>
      </c>
      <c r="L31" s="9">
        <v>20</v>
      </c>
      <c r="M31" s="7" t="s">
        <v>27</v>
      </c>
      <c r="O31" t="s">
        <v>43</v>
      </c>
    </row>
    <row r="32" spans="1:16" outlineLevel="1" x14ac:dyDescent="0.2">
      <c r="B32" t="s">
        <v>82</v>
      </c>
      <c r="D32" t="s">
        <v>74</v>
      </c>
      <c r="E32">
        <v>0.01</v>
      </c>
      <c r="F32">
        <v>0</v>
      </c>
      <c r="G32">
        <v>-10000</v>
      </c>
      <c r="H32">
        <v>20000</v>
      </c>
      <c r="I32" t="s">
        <v>64</v>
      </c>
      <c r="J32">
        <f t="shared" si="0"/>
        <v>6064</v>
      </c>
      <c r="K32" t="s">
        <v>25</v>
      </c>
      <c r="L32" s="9">
        <v>1</v>
      </c>
      <c r="M32" s="7" t="s">
        <v>27</v>
      </c>
      <c r="O32" t="s">
        <v>43</v>
      </c>
    </row>
    <row r="33" spans="2:16" outlineLevel="1" x14ac:dyDescent="0.2">
      <c r="B33" t="s">
        <v>83</v>
      </c>
      <c r="D33" t="s">
        <v>74</v>
      </c>
      <c r="E33">
        <v>0.01</v>
      </c>
      <c r="F33">
        <v>0</v>
      </c>
      <c r="G33">
        <v>-10000</v>
      </c>
      <c r="H33">
        <v>20000</v>
      </c>
      <c r="I33" t="s">
        <v>64</v>
      </c>
      <c r="J33">
        <f>J32+L32</f>
        <v>6065</v>
      </c>
      <c r="K33" t="s">
        <v>25</v>
      </c>
      <c r="L33" s="9">
        <v>1</v>
      </c>
      <c r="M33" s="7" t="s">
        <v>27</v>
      </c>
      <c r="O33" t="s">
        <v>43</v>
      </c>
    </row>
    <row r="34" spans="2:16" outlineLevel="1" x14ac:dyDescent="0.2">
      <c r="B34" t="s">
        <v>84</v>
      </c>
      <c r="D34" t="s">
        <v>74</v>
      </c>
      <c r="E34">
        <v>0.01</v>
      </c>
      <c r="F34">
        <v>0</v>
      </c>
      <c r="G34">
        <v>-10000</v>
      </c>
      <c r="H34">
        <v>20000</v>
      </c>
      <c r="I34" t="s">
        <v>64</v>
      </c>
      <c r="J34">
        <f t="shared" si="0"/>
        <v>6066</v>
      </c>
      <c r="K34" t="s">
        <v>25</v>
      </c>
      <c r="L34" s="9">
        <v>20</v>
      </c>
      <c r="M34" s="7" t="s">
        <v>27</v>
      </c>
      <c r="O34" t="s">
        <v>43</v>
      </c>
    </row>
    <row r="35" spans="2:16" outlineLevel="1" x14ac:dyDescent="0.2">
      <c r="B35" t="s">
        <v>85</v>
      </c>
      <c r="D35" t="s">
        <v>74</v>
      </c>
      <c r="E35">
        <v>0.01</v>
      </c>
      <c r="F35">
        <v>0</v>
      </c>
      <c r="G35">
        <v>-10000</v>
      </c>
      <c r="H35">
        <v>20000</v>
      </c>
      <c r="I35" t="s">
        <v>64</v>
      </c>
      <c r="J35">
        <f t="shared" si="0"/>
        <v>6086</v>
      </c>
      <c r="K35" t="s">
        <v>25</v>
      </c>
      <c r="L35" s="9">
        <v>1</v>
      </c>
      <c r="M35" s="7" t="s">
        <v>27</v>
      </c>
      <c r="O35" t="s">
        <v>43</v>
      </c>
    </row>
    <row r="36" spans="2:16" outlineLevel="1" x14ac:dyDescent="0.2">
      <c r="B36" t="s">
        <v>86</v>
      </c>
      <c r="D36" t="s">
        <v>74</v>
      </c>
      <c r="E36">
        <v>0.01</v>
      </c>
      <c r="F36">
        <v>0</v>
      </c>
      <c r="G36">
        <v>-10000</v>
      </c>
      <c r="H36">
        <v>20000</v>
      </c>
      <c r="I36" t="s">
        <v>64</v>
      </c>
      <c r="J36">
        <f t="shared" si="0"/>
        <v>6087</v>
      </c>
      <c r="K36" t="s">
        <v>25</v>
      </c>
      <c r="L36" s="9">
        <v>20</v>
      </c>
      <c r="M36" s="7" t="s">
        <v>27</v>
      </c>
      <c r="O36" t="s">
        <v>43</v>
      </c>
    </row>
    <row r="37" spans="2:16" outlineLevel="1" x14ac:dyDescent="0.2">
      <c r="B37" t="s">
        <v>87</v>
      </c>
      <c r="D37" t="s">
        <v>74</v>
      </c>
      <c r="E37">
        <v>0.01</v>
      </c>
      <c r="F37">
        <v>0</v>
      </c>
      <c r="G37">
        <v>-10000</v>
      </c>
      <c r="H37">
        <v>20000</v>
      </c>
      <c r="I37" t="s">
        <v>64</v>
      </c>
      <c r="J37">
        <f t="shared" si="0"/>
        <v>6107</v>
      </c>
      <c r="K37" t="s">
        <v>25</v>
      </c>
      <c r="L37" s="9">
        <v>1</v>
      </c>
      <c r="M37" s="7" t="s">
        <v>27</v>
      </c>
      <c r="O37" t="s">
        <v>43</v>
      </c>
    </row>
    <row r="38" spans="2:16" outlineLevel="1" x14ac:dyDescent="0.2">
      <c r="B38" t="s">
        <v>88</v>
      </c>
      <c r="D38" t="s">
        <v>74</v>
      </c>
      <c r="E38">
        <v>0.01</v>
      </c>
      <c r="F38">
        <v>0</v>
      </c>
      <c r="G38">
        <v>-10000</v>
      </c>
      <c r="H38">
        <v>20000</v>
      </c>
      <c r="I38" t="s">
        <v>64</v>
      </c>
      <c r="J38">
        <f t="shared" si="0"/>
        <v>6108</v>
      </c>
      <c r="K38" t="s">
        <v>25</v>
      </c>
      <c r="L38" s="9">
        <v>20</v>
      </c>
      <c r="M38" s="7" t="s">
        <v>27</v>
      </c>
      <c r="O38" t="s">
        <v>43</v>
      </c>
    </row>
    <row r="39" spans="2:16" outlineLevel="1" x14ac:dyDescent="0.2">
      <c r="B39" t="s">
        <v>89</v>
      </c>
      <c r="D39" t="s">
        <v>74</v>
      </c>
      <c r="E39">
        <v>0.01</v>
      </c>
      <c r="F39">
        <v>0</v>
      </c>
      <c r="G39">
        <v>-10000</v>
      </c>
      <c r="H39">
        <v>20000</v>
      </c>
      <c r="I39" t="s">
        <v>64</v>
      </c>
      <c r="J39">
        <f t="shared" si="0"/>
        <v>6128</v>
      </c>
      <c r="K39" t="s">
        <v>25</v>
      </c>
      <c r="L39" s="9">
        <v>1</v>
      </c>
      <c r="M39" s="7" t="s">
        <v>27</v>
      </c>
      <c r="O39" t="s">
        <v>43</v>
      </c>
    </row>
    <row r="40" spans="2:16" outlineLevel="1" x14ac:dyDescent="0.2">
      <c r="B40" t="s">
        <v>90</v>
      </c>
      <c r="D40" t="s">
        <v>74</v>
      </c>
      <c r="E40">
        <v>0.01</v>
      </c>
      <c r="F40">
        <v>0</v>
      </c>
      <c r="G40">
        <v>-10000</v>
      </c>
      <c r="H40">
        <v>20000</v>
      </c>
      <c r="I40" t="s">
        <v>64</v>
      </c>
      <c r="J40">
        <f t="shared" si="0"/>
        <v>6129</v>
      </c>
      <c r="K40" t="s">
        <v>25</v>
      </c>
      <c r="L40" s="9">
        <v>1</v>
      </c>
      <c r="M40" s="7" t="s">
        <v>27</v>
      </c>
      <c r="O40" t="s">
        <v>43</v>
      </c>
    </row>
    <row r="41" spans="2:16" outlineLevel="1" x14ac:dyDescent="0.2">
      <c r="B41" t="s">
        <v>91</v>
      </c>
      <c r="D41" t="s">
        <v>74</v>
      </c>
      <c r="E41">
        <v>0.01</v>
      </c>
      <c r="F41">
        <v>0</v>
      </c>
      <c r="G41">
        <v>-10000</v>
      </c>
      <c r="H41">
        <v>20000</v>
      </c>
      <c r="I41" t="s">
        <v>64</v>
      </c>
      <c r="J41">
        <f t="shared" si="0"/>
        <v>6130</v>
      </c>
      <c r="K41" t="s">
        <v>25</v>
      </c>
      <c r="L41" s="9">
        <v>20</v>
      </c>
      <c r="M41" s="7" t="s">
        <v>27</v>
      </c>
      <c r="O41" t="s">
        <v>43</v>
      </c>
    </row>
    <row r="42" spans="2:16" outlineLevel="1" x14ac:dyDescent="0.2">
      <c r="B42" t="s">
        <v>92</v>
      </c>
      <c r="D42" t="s">
        <v>74</v>
      </c>
      <c r="E42">
        <v>0.01</v>
      </c>
      <c r="F42">
        <v>0</v>
      </c>
      <c r="G42">
        <v>-10000</v>
      </c>
      <c r="H42">
        <v>20000</v>
      </c>
      <c r="I42" t="s">
        <v>64</v>
      </c>
      <c r="J42">
        <f t="shared" si="0"/>
        <v>6150</v>
      </c>
      <c r="K42" t="s">
        <v>25</v>
      </c>
      <c r="L42" s="9">
        <v>1</v>
      </c>
      <c r="M42" s="7" t="s">
        <v>27</v>
      </c>
      <c r="O42" t="s">
        <v>43</v>
      </c>
    </row>
    <row r="43" spans="2:16" outlineLevel="1" x14ac:dyDescent="0.2">
      <c r="B43" t="s">
        <v>93</v>
      </c>
      <c r="D43" t="s">
        <v>74</v>
      </c>
      <c r="E43">
        <v>0.01</v>
      </c>
      <c r="F43">
        <v>0</v>
      </c>
      <c r="G43">
        <v>-10000</v>
      </c>
      <c r="H43">
        <v>20000</v>
      </c>
      <c r="I43" t="s">
        <v>64</v>
      </c>
      <c r="J43">
        <f t="shared" si="0"/>
        <v>6151</v>
      </c>
      <c r="K43" t="s">
        <v>25</v>
      </c>
      <c r="L43" s="9">
        <v>20</v>
      </c>
      <c r="M43" s="7" t="s">
        <v>27</v>
      </c>
      <c r="O43" t="s">
        <v>43</v>
      </c>
    </row>
    <row r="44" spans="2:16" outlineLevel="1" x14ac:dyDescent="0.2">
      <c r="B44" t="s">
        <v>94</v>
      </c>
      <c r="D44" t="s">
        <v>74</v>
      </c>
      <c r="E44">
        <v>0.01</v>
      </c>
      <c r="F44">
        <v>0</v>
      </c>
      <c r="G44">
        <v>-10000</v>
      </c>
      <c r="H44">
        <v>20000</v>
      </c>
      <c r="I44" t="s">
        <v>64</v>
      </c>
      <c r="J44">
        <f t="shared" si="0"/>
        <v>6171</v>
      </c>
      <c r="K44" t="s">
        <v>25</v>
      </c>
      <c r="L44" s="9">
        <v>1</v>
      </c>
      <c r="M44" s="7" t="s">
        <v>27</v>
      </c>
      <c r="O44" t="s">
        <v>43</v>
      </c>
    </row>
    <row r="45" spans="2:16" outlineLevel="1" x14ac:dyDescent="0.2">
      <c r="B45" t="s">
        <v>95</v>
      </c>
      <c r="D45" t="s">
        <v>74</v>
      </c>
      <c r="E45">
        <v>0.01</v>
      </c>
      <c r="F45">
        <v>0</v>
      </c>
      <c r="G45">
        <v>-10000</v>
      </c>
      <c r="H45">
        <v>20000</v>
      </c>
      <c r="I45" t="s">
        <v>64</v>
      </c>
      <c r="J45">
        <f t="shared" si="0"/>
        <v>6172</v>
      </c>
      <c r="K45" t="s">
        <v>25</v>
      </c>
      <c r="L45" s="9">
        <v>20</v>
      </c>
      <c r="M45" s="7" t="s">
        <v>27</v>
      </c>
      <c r="O45" t="s">
        <v>43</v>
      </c>
    </row>
    <row r="46" spans="2:16" x14ac:dyDescent="0.2">
      <c r="B46" s="4" t="s">
        <v>96</v>
      </c>
      <c r="C46" t="s">
        <v>97</v>
      </c>
      <c r="D46" t="s">
        <v>98</v>
      </c>
      <c r="E46">
        <v>0.01</v>
      </c>
      <c r="F46">
        <v>0</v>
      </c>
      <c r="G46">
        <v>0</v>
      </c>
      <c r="H46">
        <v>7200</v>
      </c>
      <c r="I46" t="s">
        <v>23</v>
      </c>
      <c r="J46" s="4">
        <f>J47</f>
        <v>6192</v>
      </c>
      <c r="K46" t="s">
        <v>25</v>
      </c>
      <c r="L46" s="10">
        <f>SUM(L47:L67)</f>
        <v>192</v>
      </c>
      <c r="M46" s="5" t="s">
        <v>27</v>
      </c>
      <c r="O46" t="s">
        <v>43</v>
      </c>
    </row>
    <row r="47" spans="2:16" outlineLevel="1" x14ac:dyDescent="0.2">
      <c r="B47" t="s">
        <v>99</v>
      </c>
      <c r="D47" t="s">
        <v>98</v>
      </c>
      <c r="E47">
        <v>0.01</v>
      </c>
      <c r="F47">
        <v>0</v>
      </c>
      <c r="G47">
        <v>0</v>
      </c>
      <c r="H47">
        <v>7200</v>
      </c>
      <c r="I47" t="s">
        <v>23</v>
      </c>
      <c r="J47">
        <f>J45+L45</f>
        <v>6192</v>
      </c>
      <c r="K47" t="s">
        <v>25</v>
      </c>
      <c r="L47" s="9">
        <v>1</v>
      </c>
      <c r="M47" s="5" t="s">
        <v>27</v>
      </c>
      <c r="O47" t="s">
        <v>43</v>
      </c>
    </row>
    <row r="48" spans="2:16" outlineLevel="1" x14ac:dyDescent="0.2">
      <c r="B48" t="s">
        <v>100</v>
      </c>
      <c r="D48" t="s">
        <v>98</v>
      </c>
      <c r="E48">
        <v>0.01</v>
      </c>
      <c r="F48">
        <v>0</v>
      </c>
      <c r="G48">
        <v>0</v>
      </c>
      <c r="H48">
        <v>7200</v>
      </c>
      <c r="I48" t="s">
        <v>23</v>
      </c>
      <c r="J48">
        <f>J47+L47</f>
        <v>6193</v>
      </c>
      <c r="K48" t="s">
        <v>25</v>
      </c>
      <c r="L48" s="9">
        <v>1</v>
      </c>
      <c r="M48" s="5" t="s">
        <v>27</v>
      </c>
      <c r="O48" t="s">
        <v>43</v>
      </c>
      <c r="P48" s="16"/>
    </row>
    <row r="49" spans="2:16" outlineLevel="1" x14ac:dyDescent="0.2">
      <c r="B49" t="s">
        <v>101</v>
      </c>
      <c r="D49" t="s">
        <v>98</v>
      </c>
      <c r="E49">
        <v>0.01</v>
      </c>
      <c r="F49">
        <v>0</v>
      </c>
      <c r="G49">
        <v>0</v>
      </c>
      <c r="H49">
        <v>7200</v>
      </c>
      <c r="I49" t="s">
        <v>23</v>
      </c>
      <c r="J49">
        <f t="shared" ref="J49:J67" si="1">J48+L48</f>
        <v>6194</v>
      </c>
      <c r="K49" t="s">
        <v>25</v>
      </c>
      <c r="L49" s="9">
        <v>20</v>
      </c>
      <c r="M49" s="5" t="s">
        <v>27</v>
      </c>
      <c r="O49" t="s">
        <v>43</v>
      </c>
    </row>
    <row r="50" spans="2:16" outlineLevel="1" x14ac:dyDescent="0.2">
      <c r="B50" t="s">
        <v>102</v>
      </c>
      <c r="D50" t="s">
        <v>98</v>
      </c>
      <c r="E50">
        <v>0.01</v>
      </c>
      <c r="F50">
        <v>0</v>
      </c>
      <c r="G50">
        <v>0</v>
      </c>
      <c r="H50">
        <v>7200</v>
      </c>
      <c r="I50" t="s">
        <v>23</v>
      </c>
      <c r="J50">
        <f t="shared" si="1"/>
        <v>6214</v>
      </c>
      <c r="K50" t="s">
        <v>25</v>
      </c>
      <c r="L50" s="9">
        <v>1</v>
      </c>
      <c r="M50" s="5" t="s">
        <v>27</v>
      </c>
      <c r="O50" t="s">
        <v>43</v>
      </c>
    </row>
    <row r="51" spans="2:16" outlineLevel="1" x14ac:dyDescent="0.2">
      <c r="B51" t="s">
        <v>103</v>
      </c>
      <c r="D51" t="s">
        <v>98</v>
      </c>
      <c r="E51">
        <v>0.01</v>
      </c>
      <c r="F51">
        <v>0</v>
      </c>
      <c r="G51">
        <v>0</v>
      </c>
      <c r="H51">
        <v>7200</v>
      </c>
      <c r="I51" t="s">
        <v>23</v>
      </c>
      <c r="J51">
        <f t="shared" si="1"/>
        <v>6215</v>
      </c>
      <c r="K51" t="s">
        <v>25</v>
      </c>
      <c r="L51" s="9">
        <v>20</v>
      </c>
      <c r="M51" s="5" t="s">
        <v>27</v>
      </c>
      <c r="O51" t="s">
        <v>43</v>
      </c>
    </row>
    <row r="52" spans="2:16" outlineLevel="1" x14ac:dyDescent="0.2">
      <c r="B52" t="s">
        <v>104</v>
      </c>
      <c r="D52" t="s">
        <v>98</v>
      </c>
      <c r="E52">
        <v>0.01</v>
      </c>
      <c r="F52">
        <v>0</v>
      </c>
      <c r="G52">
        <v>0</v>
      </c>
      <c r="H52">
        <v>7200</v>
      </c>
      <c r="I52" t="s">
        <v>23</v>
      </c>
      <c r="J52">
        <f t="shared" si="1"/>
        <v>6235</v>
      </c>
      <c r="K52" t="s">
        <v>25</v>
      </c>
      <c r="L52" s="9">
        <v>1</v>
      </c>
      <c r="M52" s="5" t="s">
        <v>27</v>
      </c>
      <c r="O52" t="s">
        <v>43</v>
      </c>
    </row>
    <row r="53" spans="2:16" outlineLevel="1" x14ac:dyDescent="0.2">
      <c r="B53" t="s">
        <v>105</v>
      </c>
      <c r="D53" t="s">
        <v>98</v>
      </c>
      <c r="E53">
        <v>0.01</v>
      </c>
      <c r="F53">
        <v>0</v>
      </c>
      <c r="G53">
        <v>0</v>
      </c>
      <c r="H53">
        <v>7200</v>
      </c>
      <c r="I53" t="s">
        <v>23</v>
      </c>
      <c r="J53">
        <f t="shared" si="1"/>
        <v>6236</v>
      </c>
      <c r="K53" t="s">
        <v>25</v>
      </c>
      <c r="L53" s="9">
        <v>20</v>
      </c>
      <c r="M53" s="5" t="s">
        <v>27</v>
      </c>
      <c r="O53" t="s">
        <v>43</v>
      </c>
    </row>
    <row r="54" spans="2:16" outlineLevel="1" x14ac:dyDescent="0.2">
      <c r="B54" t="s">
        <v>106</v>
      </c>
      <c r="D54" t="s">
        <v>98</v>
      </c>
      <c r="E54">
        <v>0.01</v>
      </c>
      <c r="F54">
        <v>0</v>
      </c>
      <c r="G54">
        <v>0</v>
      </c>
      <c r="H54">
        <v>7200</v>
      </c>
      <c r="I54" t="s">
        <v>23</v>
      </c>
      <c r="J54">
        <f t="shared" si="1"/>
        <v>6256</v>
      </c>
      <c r="K54" t="s">
        <v>25</v>
      </c>
      <c r="L54" s="9">
        <v>1</v>
      </c>
      <c r="M54" s="5" t="s">
        <v>27</v>
      </c>
      <c r="O54" t="s">
        <v>43</v>
      </c>
      <c r="P54" s="16"/>
    </row>
    <row r="55" spans="2:16" outlineLevel="1" x14ac:dyDescent="0.2">
      <c r="B55" t="s">
        <v>107</v>
      </c>
      <c r="D55" t="s">
        <v>98</v>
      </c>
      <c r="E55">
        <v>0.01</v>
      </c>
      <c r="F55">
        <v>0</v>
      </c>
      <c r="G55">
        <v>0</v>
      </c>
      <c r="H55">
        <v>7200</v>
      </c>
      <c r="I55" t="s">
        <v>23</v>
      </c>
      <c r="J55">
        <f t="shared" si="1"/>
        <v>6257</v>
      </c>
      <c r="K55" t="s">
        <v>25</v>
      </c>
      <c r="L55" s="9">
        <v>1</v>
      </c>
      <c r="M55" s="5" t="s">
        <v>27</v>
      </c>
      <c r="O55" t="s">
        <v>43</v>
      </c>
    </row>
    <row r="56" spans="2:16" outlineLevel="1" x14ac:dyDescent="0.2">
      <c r="B56" t="s">
        <v>108</v>
      </c>
      <c r="D56" t="s">
        <v>98</v>
      </c>
      <c r="E56">
        <v>0.01</v>
      </c>
      <c r="F56">
        <v>0</v>
      </c>
      <c r="G56">
        <v>0</v>
      </c>
      <c r="H56">
        <v>7200</v>
      </c>
      <c r="I56" t="s">
        <v>23</v>
      </c>
      <c r="J56">
        <f t="shared" si="1"/>
        <v>6258</v>
      </c>
      <c r="K56" t="s">
        <v>25</v>
      </c>
      <c r="L56" s="9">
        <v>20</v>
      </c>
      <c r="M56" s="5" t="s">
        <v>27</v>
      </c>
      <c r="O56" t="s">
        <v>43</v>
      </c>
    </row>
    <row r="57" spans="2:16" outlineLevel="1" x14ac:dyDescent="0.2">
      <c r="B57" t="s">
        <v>109</v>
      </c>
      <c r="D57" t="s">
        <v>98</v>
      </c>
      <c r="E57">
        <v>0.01</v>
      </c>
      <c r="F57">
        <v>0</v>
      </c>
      <c r="G57">
        <v>0</v>
      </c>
      <c r="H57">
        <v>7200</v>
      </c>
      <c r="I57" t="s">
        <v>23</v>
      </c>
      <c r="J57">
        <f t="shared" si="1"/>
        <v>6278</v>
      </c>
      <c r="K57" t="s">
        <v>25</v>
      </c>
      <c r="L57" s="9">
        <v>1</v>
      </c>
      <c r="M57" s="5" t="s">
        <v>27</v>
      </c>
      <c r="O57" t="s">
        <v>43</v>
      </c>
    </row>
    <row r="58" spans="2:16" outlineLevel="1" x14ac:dyDescent="0.2">
      <c r="B58" t="s">
        <v>110</v>
      </c>
      <c r="D58" t="s">
        <v>98</v>
      </c>
      <c r="E58">
        <v>0.01</v>
      </c>
      <c r="F58">
        <v>0</v>
      </c>
      <c r="G58">
        <v>0</v>
      </c>
      <c r="H58">
        <v>7200</v>
      </c>
      <c r="I58" t="s">
        <v>23</v>
      </c>
      <c r="J58">
        <f t="shared" si="1"/>
        <v>6279</v>
      </c>
      <c r="K58" t="s">
        <v>25</v>
      </c>
      <c r="L58" s="9">
        <v>20</v>
      </c>
      <c r="M58" s="5" t="s">
        <v>27</v>
      </c>
      <c r="O58" t="s">
        <v>43</v>
      </c>
    </row>
    <row r="59" spans="2:16" outlineLevel="1" x14ac:dyDescent="0.2">
      <c r="B59" t="s">
        <v>111</v>
      </c>
      <c r="D59" t="s">
        <v>98</v>
      </c>
      <c r="E59">
        <v>0.01</v>
      </c>
      <c r="F59">
        <v>0</v>
      </c>
      <c r="G59">
        <v>0</v>
      </c>
      <c r="H59">
        <v>7200</v>
      </c>
      <c r="I59" t="s">
        <v>23</v>
      </c>
      <c r="J59">
        <f t="shared" si="1"/>
        <v>6299</v>
      </c>
      <c r="K59" t="s">
        <v>25</v>
      </c>
      <c r="L59" s="9">
        <v>1</v>
      </c>
      <c r="M59" s="5" t="s">
        <v>27</v>
      </c>
      <c r="O59" t="s">
        <v>43</v>
      </c>
    </row>
    <row r="60" spans="2:16" outlineLevel="1" x14ac:dyDescent="0.2">
      <c r="B60" t="s">
        <v>112</v>
      </c>
      <c r="D60" t="s">
        <v>98</v>
      </c>
      <c r="E60">
        <v>0.01</v>
      </c>
      <c r="F60">
        <v>0</v>
      </c>
      <c r="G60">
        <v>0</v>
      </c>
      <c r="H60">
        <v>7200</v>
      </c>
      <c r="I60" t="s">
        <v>23</v>
      </c>
      <c r="J60">
        <f t="shared" si="1"/>
        <v>6300</v>
      </c>
      <c r="K60" t="s">
        <v>25</v>
      </c>
      <c r="L60" s="9">
        <v>20</v>
      </c>
      <c r="M60" s="5" t="s">
        <v>27</v>
      </c>
      <c r="O60" t="s">
        <v>43</v>
      </c>
    </row>
    <row r="61" spans="2:16" outlineLevel="1" x14ac:dyDescent="0.2">
      <c r="B61" t="s">
        <v>113</v>
      </c>
      <c r="D61" t="s">
        <v>98</v>
      </c>
      <c r="E61">
        <v>0.01</v>
      </c>
      <c r="F61">
        <v>0</v>
      </c>
      <c r="G61">
        <v>0</v>
      </c>
      <c r="H61">
        <v>7200</v>
      </c>
      <c r="I61" t="s">
        <v>23</v>
      </c>
      <c r="J61">
        <f t="shared" si="1"/>
        <v>6320</v>
      </c>
      <c r="K61" t="s">
        <v>25</v>
      </c>
      <c r="L61" s="9">
        <v>1</v>
      </c>
      <c r="M61" s="5" t="s">
        <v>27</v>
      </c>
      <c r="O61" t="s">
        <v>43</v>
      </c>
    </row>
    <row r="62" spans="2:16" outlineLevel="1" x14ac:dyDescent="0.2">
      <c r="B62" t="s">
        <v>114</v>
      </c>
      <c r="D62" t="s">
        <v>98</v>
      </c>
      <c r="E62">
        <v>0.01</v>
      </c>
      <c r="F62">
        <v>0</v>
      </c>
      <c r="G62">
        <v>0</v>
      </c>
      <c r="H62">
        <v>7200</v>
      </c>
      <c r="I62" t="s">
        <v>23</v>
      </c>
      <c r="J62">
        <f t="shared" si="1"/>
        <v>6321</v>
      </c>
      <c r="K62" t="s">
        <v>25</v>
      </c>
      <c r="L62" s="9">
        <v>1</v>
      </c>
      <c r="M62" s="5" t="s">
        <v>27</v>
      </c>
      <c r="O62" t="s">
        <v>43</v>
      </c>
      <c r="P62" s="16"/>
    </row>
    <row r="63" spans="2:16" outlineLevel="1" x14ac:dyDescent="0.2">
      <c r="B63" t="s">
        <v>115</v>
      </c>
      <c r="D63" t="s">
        <v>98</v>
      </c>
      <c r="E63">
        <v>0.01</v>
      </c>
      <c r="F63">
        <v>0</v>
      </c>
      <c r="G63">
        <v>0</v>
      </c>
      <c r="H63">
        <v>7200</v>
      </c>
      <c r="I63" t="s">
        <v>23</v>
      </c>
      <c r="J63">
        <f t="shared" si="1"/>
        <v>6322</v>
      </c>
      <c r="K63" t="s">
        <v>25</v>
      </c>
      <c r="L63" s="9">
        <v>20</v>
      </c>
      <c r="M63" s="5" t="s">
        <v>27</v>
      </c>
      <c r="O63" t="s">
        <v>43</v>
      </c>
    </row>
    <row r="64" spans="2:16" outlineLevel="1" x14ac:dyDescent="0.2">
      <c r="B64" t="s">
        <v>116</v>
      </c>
      <c r="D64" t="s">
        <v>98</v>
      </c>
      <c r="E64">
        <v>0.01</v>
      </c>
      <c r="F64">
        <v>0</v>
      </c>
      <c r="G64">
        <v>0</v>
      </c>
      <c r="H64">
        <v>7200</v>
      </c>
      <c r="I64" t="s">
        <v>23</v>
      </c>
      <c r="J64">
        <f t="shared" si="1"/>
        <v>6342</v>
      </c>
      <c r="K64" t="s">
        <v>25</v>
      </c>
      <c r="L64" s="9">
        <v>1</v>
      </c>
      <c r="M64" s="5" t="s">
        <v>27</v>
      </c>
      <c r="O64" t="s">
        <v>43</v>
      </c>
    </row>
    <row r="65" spans="2:16" outlineLevel="1" x14ac:dyDescent="0.2">
      <c r="B65" t="s">
        <v>117</v>
      </c>
      <c r="D65" t="s">
        <v>98</v>
      </c>
      <c r="E65">
        <v>0.01</v>
      </c>
      <c r="F65">
        <v>0</v>
      </c>
      <c r="G65">
        <v>0</v>
      </c>
      <c r="H65">
        <v>7200</v>
      </c>
      <c r="I65" t="s">
        <v>23</v>
      </c>
      <c r="J65">
        <f t="shared" si="1"/>
        <v>6343</v>
      </c>
      <c r="K65" t="s">
        <v>25</v>
      </c>
      <c r="L65" s="9">
        <v>20</v>
      </c>
      <c r="M65" s="5" t="s">
        <v>27</v>
      </c>
      <c r="O65" t="s">
        <v>43</v>
      </c>
    </row>
    <row r="66" spans="2:16" outlineLevel="1" x14ac:dyDescent="0.2">
      <c r="B66" t="s">
        <v>118</v>
      </c>
      <c r="D66" t="s">
        <v>98</v>
      </c>
      <c r="E66">
        <v>0.01</v>
      </c>
      <c r="F66">
        <v>0</v>
      </c>
      <c r="G66">
        <v>0</v>
      </c>
      <c r="H66">
        <v>7200</v>
      </c>
      <c r="I66" t="s">
        <v>23</v>
      </c>
      <c r="J66">
        <f t="shared" si="1"/>
        <v>6363</v>
      </c>
      <c r="K66" t="s">
        <v>25</v>
      </c>
      <c r="L66" s="9">
        <v>1</v>
      </c>
      <c r="M66" s="5" t="s">
        <v>27</v>
      </c>
      <c r="O66" t="s">
        <v>43</v>
      </c>
    </row>
    <row r="67" spans="2:16" outlineLevel="1" x14ac:dyDescent="0.2">
      <c r="B67" t="s">
        <v>119</v>
      </c>
      <c r="D67" t="s">
        <v>98</v>
      </c>
      <c r="E67">
        <v>0.01</v>
      </c>
      <c r="F67">
        <v>0</v>
      </c>
      <c r="G67">
        <v>0</v>
      </c>
      <c r="H67">
        <v>7200</v>
      </c>
      <c r="I67" t="s">
        <v>23</v>
      </c>
      <c r="J67">
        <f t="shared" si="1"/>
        <v>6364</v>
      </c>
      <c r="K67" t="s">
        <v>25</v>
      </c>
      <c r="L67" s="9">
        <v>20</v>
      </c>
      <c r="M67" s="5" t="s">
        <v>27</v>
      </c>
      <c r="O67" t="s">
        <v>43</v>
      </c>
    </row>
    <row r="68" spans="2:16" x14ac:dyDescent="0.2">
      <c r="B68" s="4" t="s">
        <v>120</v>
      </c>
      <c r="C68" t="s">
        <v>121</v>
      </c>
      <c r="D68" t="s">
        <v>122</v>
      </c>
      <c r="E68">
        <v>0.01</v>
      </c>
      <c r="F68">
        <v>0</v>
      </c>
      <c r="G68">
        <v>-20000</v>
      </c>
      <c r="H68">
        <v>20000</v>
      </c>
      <c r="I68" t="s">
        <v>64</v>
      </c>
      <c r="J68" s="4">
        <f>J69</f>
        <v>6384</v>
      </c>
      <c r="K68" t="s">
        <v>25</v>
      </c>
      <c r="L68" s="10">
        <f>SUM(L69:L89)</f>
        <v>192</v>
      </c>
      <c r="M68" s="5" t="s">
        <v>27</v>
      </c>
      <c r="O68" t="s">
        <v>43</v>
      </c>
    </row>
    <row r="69" spans="2:16" outlineLevel="1" x14ac:dyDescent="0.2">
      <c r="B69" t="s">
        <v>123</v>
      </c>
      <c r="D69" t="s">
        <v>122</v>
      </c>
      <c r="E69">
        <v>0.01</v>
      </c>
      <c r="F69">
        <v>0</v>
      </c>
      <c r="G69">
        <v>-20000</v>
      </c>
      <c r="H69">
        <v>20000</v>
      </c>
      <c r="I69" t="s">
        <v>64</v>
      </c>
      <c r="J69">
        <f>J67+L67</f>
        <v>6384</v>
      </c>
      <c r="K69" t="s">
        <v>25</v>
      </c>
      <c r="L69" s="9">
        <v>1</v>
      </c>
      <c r="M69" s="5" t="s">
        <v>27</v>
      </c>
      <c r="O69" t="s">
        <v>43</v>
      </c>
      <c r="P69" s="16"/>
    </row>
    <row r="70" spans="2:16" outlineLevel="1" x14ac:dyDescent="0.2">
      <c r="B70" t="s">
        <v>124</v>
      </c>
      <c r="D70" t="s">
        <v>122</v>
      </c>
      <c r="E70">
        <v>0.01</v>
      </c>
      <c r="F70">
        <v>0</v>
      </c>
      <c r="G70">
        <v>-20000</v>
      </c>
      <c r="H70">
        <v>20000</v>
      </c>
      <c r="I70" t="s">
        <v>64</v>
      </c>
      <c r="J70">
        <f>J69+L69</f>
        <v>6385</v>
      </c>
      <c r="K70" t="s">
        <v>25</v>
      </c>
      <c r="L70" s="9">
        <v>1</v>
      </c>
      <c r="M70" s="5" t="s">
        <v>27</v>
      </c>
      <c r="O70" t="s">
        <v>43</v>
      </c>
    </row>
    <row r="71" spans="2:16" outlineLevel="1" x14ac:dyDescent="0.2">
      <c r="B71" t="s">
        <v>125</v>
      </c>
      <c r="D71" t="s">
        <v>122</v>
      </c>
      <c r="E71">
        <v>0.01</v>
      </c>
      <c r="F71">
        <v>0</v>
      </c>
      <c r="G71">
        <v>-20000</v>
      </c>
      <c r="H71">
        <v>20000</v>
      </c>
      <c r="I71" t="s">
        <v>64</v>
      </c>
      <c r="J71">
        <f t="shared" ref="J71:J89" si="2">J70+L70</f>
        <v>6386</v>
      </c>
      <c r="K71" t="s">
        <v>25</v>
      </c>
      <c r="L71" s="9">
        <v>20</v>
      </c>
      <c r="M71" s="5" t="s">
        <v>27</v>
      </c>
      <c r="O71" t="s">
        <v>43</v>
      </c>
    </row>
    <row r="72" spans="2:16" outlineLevel="1" x14ac:dyDescent="0.2">
      <c r="B72" t="s">
        <v>126</v>
      </c>
      <c r="D72" t="s">
        <v>122</v>
      </c>
      <c r="E72">
        <v>0.01</v>
      </c>
      <c r="F72">
        <v>0</v>
      </c>
      <c r="G72">
        <v>-20000</v>
      </c>
      <c r="H72">
        <v>20000</v>
      </c>
      <c r="I72" t="s">
        <v>64</v>
      </c>
      <c r="J72">
        <f t="shared" si="2"/>
        <v>6406</v>
      </c>
      <c r="K72" t="s">
        <v>25</v>
      </c>
      <c r="L72" s="9">
        <v>1</v>
      </c>
      <c r="M72" s="5" t="s">
        <v>27</v>
      </c>
      <c r="O72" t="s">
        <v>43</v>
      </c>
    </row>
    <row r="73" spans="2:16" outlineLevel="1" x14ac:dyDescent="0.2">
      <c r="B73" t="s">
        <v>127</v>
      </c>
      <c r="D73" t="s">
        <v>122</v>
      </c>
      <c r="E73">
        <v>0.01</v>
      </c>
      <c r="F73">
        <v>0</v>
      </c>
      <c r="G73">
        <v>-20000</v>
      </c>
      <c r="H73">
        <v>20000</v>
      </c>
      <c r="I73" t="s">
        <v>64</v>
      </c>
      <c r="J73">
        <f t="shared" si="2"/>
        <v>6407</v>
      </c>
      <c r="K73" t="s">
        <v>25</v>
      </c>
      <c r="L73" s="9">
        <v>20</v>
      </c>
      <c r="M73" s="5" t="s">
        <v>27</v>
      </c>
      <c r="O73" t="s">
        <v>43</v>
      </c>
    </row>
    <row r="74" spans="2:16" outlineLevel="1" x14ac:dyDescent="0.2">
      <c r="B74" t="s">
        <v>128</v>
      </c>
      <c r="D74" t="s">
        <v>122</v>
      </c>
      <c r="E74">
        <v>0.01</v>
      </c>
      <c r="F74">
        <v>0</v>
      </c>
      <c r="G74">
        <v>-20000</v>
      </c>
      <c r="H74">
        <v>20000</v>
      </c>
      <c r="I74" t="s">
        <v>64</v>
      </c>
      <c r="J74">
        <f t="shared" si="2"/>
        <v>6427</v>
      </c>
      <c r="K74" t="s">
        <v>25</v>
      </c>
      <c r="L74" s="9">
        <v>1</v>
      </c>
      <c r="M74" s="5" t="s">
        <v>27</v>
      </c>
      <c r="O74" t="s">
        <v>43</v>
      </c>
    </row>
    <row r="75" spans="2:16" outlineLevel="1" x14ac:dyDescent="0.2">
      <c r="B75" t="s">
        <v>129</v>
      </c>
      <c r="D75" t="s">
        <v>122</v>
      </c>
      <c r="E75">
        <v>0.01</v>
      </c>
      <c r="F75">
        <v>0</v>
      </c>
      <c r="G75">
        <v>-20000</v>
      </c>
      <c r="H75">
        <v>20000</v>
      </c>
      <c r="I75" t="s">
        <v>64</v>
      </c>
      <c r="J75">
        <f t="shared" si="2"/>
        <v>6428</v>
      </c>
      <c r="K75" t="s">
        <v>25</v>
      </c>
      <c r="L75" s="9">
        <v>20</v>
      </c>
      <c r="M75" s="5" t="s">
        <v>27</v>
      </c>
      <c r="O75" t="s">
        <v>43</v>
      </c>
    </row>
    <row r="76" spans="2:16" outlineLevel="1" x14ac:dyDescent="0.2">
      <c r="B76" t="s">
        <v>130</v>
      </c>
      <c r="D76" t="s">
        <v>122</v>
      </c>
      <c r="E76">
        <v>0.01</v>
      </c>
      <c r="F76">
        <v>0</v>
      </c>
      <c r="G76">
        <v>-20000</v>
      </c>
      <c r="H76">
        <v>20000</v>
      </c>
      <c r="I76" t="s">
        <v>64</v>
      </c>
      <c r="J76">
        <f t="shared" si="2"/>
        <v>6448</v>
      </c>
      <c r="K76" t="s">
        <v>25</v>
      </c>
      <c r="L76" s="9">
        <v>1</v>
      </c>
      <c r="M76" s="5" t="s">
        <v>27</v>
      </c>
      <c r="O76" t="s">
        <v>43</v>
      </c>
    </row>
    <row r="77" spans="2:16" outlineLevel="1" x14ac:dyDescent="0.2">
      <c r="B77" t="s">
        <v>131</v>
      </c>
      <c r="D77" t="s">
        <v>122</v>
      </c>
      <c r="E77">
        <v>0.01</v>
      </c>
      <c r="F77">
        <v>0</v>
      </c>
      <c r="G77">
        <v>-20000</v>
      </c>
      <c r="H77">
        <v>20000</v>
      </c>
      <c r="I77" t="s">
        <v>64</v>
      </c>
      <c r="J77">
        <f t="shared" si="2"/>
        <v>6449</v>
      </c>
      <c r="K77" t="s">
        <v>25</v>
      </c>
      <c r="L77" s="9">
        <v>1</v>
      </c>
      <c r="M77" s="5" t="s">
        <v>27</v>
      </c>
      <c r="O77" t="s">
        <v>43</v>
      </c>
      <c r="P77" s="16"/>
    </row>
    <row r="78" spans="2:16" outlineLevel="1" x14ac:dyDescent="0.2">
      <c r="B78" t="s">
        <v>132</v>
      </c>
      <c r="D78" t="s">
        <v>122</v>
      </c>
      <c r="E78">
        <v>0.01</v>
      </c>
      <c r="F78">
        <v>0</v>
      </c>
      <c r="G78">
        <v>-20000</v>
      </c>
      <c r="H78">
        <v>20000</v>
      </c>
      <c r="I78" t="s">
        <v>64</v>
      </c>
      <c r="J78">
        <f t="shared" si="2"/>
        <v>6450</v>
      </c>
      <c r="K78" t="s">
        <v>25</v>
      </c>
      <c r="L78" s="9">
        <v>20</v>
      </c>
      <c r="M78" s="5" t="s">
        <v>27</v>
      </c>
      <c r="O78" t="s">
        <v>43</v>
      </c>
    </row>
    <row r="79" spans="2:16" outlineLevel="1" x14ac:dyDescent="0.2">
      <c r="B79" t="s">
        <v>133</v>
      </c>
      <c r="D79" t="s">
        <v>122</v>
      </c>
      <c r="E79">
        <v>0.01</v>
      </c>
      <c r="F79">
        <v>0</v>
      </c>
      <c r="G79">
        <v>-20000</v>
      </c>
      <c r="H79">
        <v>20000</v>
      </c>
      <c r="I79" t="s">
        <v>64</v>
      </c>
      <c r="J79">
        <f t="shared" si="2"/>
        <v>6470</v>
      </c>
      <c r="K79" t="s">
        <v>25</v>
      </c>
      <c r="L79" s="9">
        <v>1</v>
      </c>
      <c r="M79" s="5" t="s">
        <v>27</v>
      </c>
      <c r="O79" t="s">
        <v>43</v>
      </c>
    </row>
    <row r="80" spans="2:16" outlineLevel="1" x14ac:dyDescent="0.2">
      <c r="B80" t="s">
        <v>134</v>
      </c>
      <c r="D80" t="s">
        <v>122</v>
      </c>
      <c r="E80">
        <v>0.01</v>
      </c>
      <c r="F80">
        <v>0</v>
      </c>
      <c r="G80">
        <v>-20000</v>
      </c>
      <c r="H80">
        <v>20000</v>
      </c>
      <c r="I80" t="s">
        <v>64</v>
      </c>
      <c r="J80">
        <f t="shared" si="2"/>
        <v>6471</v>
      </c>
      <c r="K80" t="s">
        <v>25</v>
      </c>
      <c r="L80" s="9">
        <v>20</v>
      </c>
      <c r="M80" s="5" t="s">
        <v>27</v>
      </c>
      <c r="O80" t="s">
        <v>43</v>
      </c>
    </row>
    <row r="81" spans="2:16" outlineLevel="1" x14ac:dyDescent="0.2">
      <c r="B81" t="s">
        <v>135</v>
      </c>
      <c r="D81" t="s">
        <v>122</v>
      </c>
      <c r="E81">
        <v>0.01</v>
      </c>
      <c r="F81">
        <v>0</v>
      </c>
      <c r="G81">
        <v>-20000</v>
      </c>
      <c r="H81">
        <v>20000</v>
      </c>
      <c r="I81" t="s">
        <v>64</v>
      </c>
      <c r="J81">
        <f t="shared" si="2"/>
        <v>6491</v>
      </c>
      <c r="K81" t="s">
        <v>25</v>
      </c>
      <c r="L81" s="9">
        <v>1</v>
      </c>
      <c r="M81" s="5" t="s">
        <v>27</v>
      </c>
      <c r="O81" t="s">
        <v>43</v>
      </c>
    </row>
    <row r="82" spans="2:16" outlineLevel="1" x14ac:dyDescent="0.2">
      <c r="B82" t="s">
        <v>136</v>
      </c>
      <c r="D82" t="s">
        <v>122</v>
      </c>
      <c r="E82">
        <v>0.01</v>
      </c>
      <c r="F82">
        <v>0</v>
      </c>
      <c r="G82">
        <v>-20000</v>
      </c>
      <c r="H82">
        <v>20000</v>
      </c>
      <c r="I82" t="s">
        <v>64</v>
      </c>
      <c r="J82">
        <f t="shared" si="2"/>
        <v>6492</v>
      </c>
      <c r="K82" t="s">
        <v>25</v>
      </c>
      <c r="L82" s="9">
        <v>20</v>
      </c>
      <c r="M82" s="5" t="s">
        <v>27</v>
      </c>
      <c r="O82" t="s">
        <v>43</v>
      </c>
    </row>
    <row r="83" spans="2:16" outlineLevel="1" x14ac:dyDescent="0.2">
      <c r="B83" t="s">
        <v>137</v>
      </c>
      <c r="D83" t="s">
        <v>122</v>
      </c>
      <c r="E83">
        <v>0.01</v>
      </c>
      <c r="F83">
        <v>0</v>
      </c>
      <c r="G83">
        <v>-20000</v>
      </c>
      <c r="H83">
        <v>20000</v>
      </c>
      <c r="I83" t="s">
        <v>64</v>
      </c>
      <c r="J83">
        <f t="shared" si="2"/>
        <v>6512</v>
      </c>
      <c r="K83" t="s">
        <v>25</v>
      </c>
      <c r="L83" s="9">
        <v>1</v>
      </c>
      <c r="M83" s="5" t="s">
        <v>27</v>
      </c>
      <c r="O83" t="s">
        <v>43</v>
      </c>
    </row>
    <row r="84" spans="2:16" outlineLevel="1" x14ac:dyDescent="0.2">
      <c r="B84" t="s">
        <v>138</v>
      </c>
      <c r="D84" t="s">
        <v>122</v>
      </c>
      <c r="E84">
        <v>0.01</v>
      </c>
      <c r="F84">
        <v>0</v>
      </c>
      <c r="G84">
        <v>-20000</v>
      </c>
      <c r="H84">
        <v>20000</v>
      </c>
      <c r="I84" t="s">
        <v>64</v>
      </c>
      <c r="J84">
        <f t="shared" si="2"/>
        <v>6513</v>
      </c>
      <c r="K84" t="s">
        <v>25</v>
      </c>
      <c r="L84" s="9">
        <v>1</v>
      </c>
      <c r="M84" s="5" t="s">
        <v>27</v>
      </c>
      <c r="O84" t="s">
        <v>43</v>
      </c>
      <c r="P84" s="16"/>
    </row>
    <row r="85" spans="2:16" outlineLevel="1" x14ac:dyDescent="0.2">
      <c r="B85" t="s">
        <v>139</v>
      </c>
      <c r="D85" t="s">
        <v>122</v>
      </c>
      <c r="E85">
        <v>0.01</v>
      </c>
      <c r="F85">
        <v>0</v>
      </c>
      <c r="G85">
        <v>-20000</v>
      </c>
      <c r="H85">
        <v>20000</v>
      </c>
      <c r="I85" t="s">
        <v>64</v>
      </c>
      <c r="J85">
        <f t="shared" si="2"/>
        <v>6514</v>
      </c>
      <c r="K85" t="s">
        <v>25</v>
      </c>
      <c r="L85" s="9">
        <v>20</v>
      </c>
      <c r="M85" s="5" t="s">
        <v>27</v>
      </c>
      <c r="O85" t="s">
        <v>43</v>
      </c>
    </row>
    <row r="86" spans="2:16" outlineLevel="1" x14ac:dyDescent="0.2">
      <c r="B86" t="s">
        <v>140</v>
      </c>
      <c r="D86" t="s">
        <v>122</v>
      </c>
      <c r="E86">
        <v>0.01</v>
      </c>
      <c r="F86">
        <v>0</v>
      </c>
      <c r="G86">
        <v>-20000</v>
      </c>
      <c r="H86">
        <v>20000</v>
      </c>
      <c r="I86" t="s">
        <v>64</v>
      </c>
      <c r="J86">
        <f t="shared" si="2"/>
        <v>6534</v>
      </c>
      <c r="K86" t="s">
        <v>25</v>
      </c>
      <c r="L86" s="9">
        <v>1</v>
      </c>
      <c r="M86" s="5" t="s">
        <v>27</v>
      </c>
      <c r="O86" t="s">
        <v>43</v>
      </c>
    </row>
    <row r="87" spans="2:16" outlineLevel="1" x14ac:dyDescent="0.2">
      <c r="B87" t="s">
        <v>141</v>
      </c>
      <c r="D87" t="s">
        <v>122</v>
      </c>
      <c r="E87">
        <v>0.01</v>
      </c>
      <c r="F87">
        <v>0</v>
      </c>
      <c r="G87">
        <v>-20000</v>
      </c>
      <c r="H87">
        <v>20000</v>
      </c>
      <c r="I87" t="s">
        <v>64</v>
      </c>
      <c r="J87">
        <f t="shared" si="2"/>
        <v>6535</v>
      </c>
      <c r="K87" t="s">
        <v>25</v>
      </c>
      <c r="L87" s="9">
        <v>20</v>
      </c>
      <c r="M87" s="5" t="s">
        <v>27</v>
      </c>
      <c r="O87" t="s">
        <v>43</v>
      </c>
    </row>
    <row r="88" spans="2:16" outlineLevel="1" x14ac:dyDescent="0.2">
      <c r="B88" t="s">
        <v>142</v>
      </c>
      <c r="D88" t="s">
        <v>122</v>
      </c>
      <c r="E88">
        <v>0.01</v>
      </c>
      <c r="F88">
        <v>0</v>
      </c>
      <c r="G88">
        <v>-20000</v>
      </c>
      <c r="H88">
        <v>20000</v>
      </c>
      <c r="I88" t="s">
        <v>64</v>
      </c>
      <c r="J88">
        <f t="shared" si="2"/>
        <v>6555</v>
      </c>
      <c r="K88" t="s">
        <v>25</v>
      </c>
      <c r="L88" s="9">
        <v>1</v>
      </c>
      <c r="M88" s="5" t="s">
        <v>27</v>
      </c>
      <c r="O88" t="s">
        <v>43</v>
      </c>
    </row>
    <row r="89" spans="2:16" outlineLevel="1" x14ac:dyDescent="0.2">
      <c r="B89" t="s">
        <v>143</v>
      </c>
      <c r="D89" t="s">
        <v>122</v>
      </c>
      <c r="E89">
        <v>0.01</v>
      </c>
      <c r="F89">
        <v>0</v>
      </c>
      <c r="G89">
        <v>-20000</v>
      </c>
      <c r="H89">
        <v>20000</v>
      </c>
      <c r="I89" t="s">
        <v>64</v>
      </c>
      <c r="J89">
        <f t="shared" si="2"/>
        <v>6556</v>
      </c>
      <c r="K89" t="s">
        <v>25</v>
      </c>
      <c r="L89" s="9">
        <v>20</v>
      </c>
      <c r="M89" s="5" t="s">
        <v>27</v>
      </c>
      <c r="O89" t="s">
        <v>43</v>
      </c>
    </row>
    <row r="90" spans="2:16" x14ac:dyDescent="0.2">
      <c r="B90" s="4" t="s">
        <v>144</v>
      </c>
      <c r="C90" t="s">
        <v>145</v>
      </c>
      <c r="D90" t="s">
        <v>146</v>
      </c>
      <c r="E90">
        <v>0.01</v>
      </c>
      <c r="F90">
        <v>0</v>
      </c>
      <c r="G90">
        <v>0</v>
      </c>
      <c r="H90">
        <v>10000</v>
      </c>
      <c r="I90" t="s">
        <v>23</v>
      </c>
      <c r="J90" s="4">
        <f>J91</f>
        <v>6576</v>
      </c>
      <c r="K90" t="s">
        <v>25</v>
      </c>
      <c r="L90" s="10">
        <f>SUM(L91:L111)</f>
        <v>192</v>
      </c>
      <c r="M90" s="5" t="s">
        <v>27</v>
      </c>
      <c r="O90" t="s">
        <v>43</v>
      </c>
    </row>
    <row r="91" spans="2:16" outlineLevel="1" x14ac:dyDescent="0.2">
      <c r="B91" t="s">
        <v>147</v>
      </c>
      <c r="D91" t="s">
        <v>146</v>
      </c>
      <c r="E91">
        <v>0.01</v>
      </c>
      <c r="F91">
        <v>0</v>
      </c>
      <c r="G91">
        <v>0</v>
      </c>
      <c r="H91">
        <v>10000</v>
      </c>
      <c r="I91" t="s">
        <v>23</v>
      </c>
      <c r="J91">
        <f>J89+L89</f>
        <v>6576</v>
      </c>
      <c r="K91" t="s">
        <v>25</v>
      </c>
      <c r="L91" s="9">
        <v>1</v>
      </c>
      <c r="M91" s="5" t="s">
        <v>27</v>
      </c>
      <c r="O91" t="s">
        <v>43</v>
      </c>
      <c r="P91" s="16"/>
    </row>
    <row r="92" spans="2:16" outlineLevel="1" x14ac:dyDescent="0.2">
      <c r="B92" t="s">
        <v>148</v>
      </c>
      <c r="D92" t="s">
        <v>146</v>
      </c>
      <c r="E92">
        <v>0.01</v>
      </c>
      <c r="F92">
        <v>0</v>
      </c>
      <c r="G92">
        <v>0</v>
      </c>
      <c r="H92">
        <v>10000</v>
      </c>
      <c r="I92" t="s">
        <v>23</v>
      </c>
      <c r="J92">
        <f>J91+L91</f>
        <v>6577</v>
      </c>
      <c r="K92" t="s">
        <v>25</v>
      </c>
      <c r="L92" s="9">
        <v>1</v>
      </c>
      <c r="M92" s="5" t="s">
        <v>27</v>
      </c>
      <c r="O92" t="s">
        <v>43</v>
      </c>
    </row>
    <row r="93" spans="2:16" outlineLevel="1" x14ac:dyDescent="0.2">
      <c r="B93" t="s">
        <v>149</v>
      </c>
      <c r="D93" t="s">
        <v>146</v>
      </c>
      <c r="E93">
        <v>0.01</v>
      </c>
      <c r="F93">
        <v>0</v>
      </c>
      <c r="G93">
        <v>0</v>
      </c>
      <c r="H93">
        <v>10000</v>
      </c>
      <c r="I93" t="s">
        <v>23</v>
      </c>
      <c r="J93">
        <f t="shared" ref="J93:J111" si="3">J92+L92</f>
        <v>6578</v>
      </c>
      <c r="K93" t="s">
        <v>25</v>
      </c>
      <c r="L93" s="9">
        <v>20</v>
      </c>
      <c r="M93" s="5" t="s">
        <v>27</v>
      </c>
      <c r="O93" t="s">
        <v>43</v>
      </c>
    </row>
    <row r="94" spans="2:16" outlineLevel="1" x14ac:dyDescent="0.2">
      <c r="B94" t="s">
        <v>150</v>
      </c>
      <c r="D94" t="s">
        <v>146</v>
      </c>
      <c r="E94">
        <v>0.01</v>
      </c>
      <c r="F94">
        <v>0</v>
      </c>
      <c r="G94">
        <v>0</v>
      </c>
      <c r="H94">
        <v>10000</v>
      </c>
      <c r="I94" t="s">
        <v>23</v>
      </c>
      <c r="J94">
        <f t="shared" si="3"/>
        <v>6598</v>
      </c>
      <c r="K94" t="s">
        <v>25</v>
      </c>
      <c r="L94" s="9">
        <v>1</v>
      </c>
      <c r="M94" s="5" t="s">
        <v>27</v>
      </c>
      <c r="O94" t="s">
        <v>43</v>
      </c>
    </row>
    <row r="95" spans="2:16" outlineLevel="1" x14ac:dyDescent="0.2">
      <c r="B95" t="s">
        <v>151</v>
      </c>
      <c r="D95" t="s">
        <v>146</v>
      </c>
      <c r="E95">
        <v>0.01</v>
      </c>
      <c r="F95">
        <v>0</v>
      </c>
      <c r="G95">
        <v>0</v>
      </c>
      <c r="H95">
        <v>10000</v>
      </c>
      <c r="I95" t="s">
        <v>23</v>
      </c>
      <c r="J95">
        <f t="shared" si="3"/>
        <v>6599</v>
      </c>
      <c r="K95" t="s">
        <v>25</v>
      </c>
      <c r="L95" s="9">
        <v>20</v>
      </c>
      <c r="M95" s="5" t="s">
        <v>27</v>
      </c>
      <c r="O95" t="s">
        <v>43</v>
      </c>
    </row>
    <row r="96" spans="2:16" outlineLevel="1" x14ac:dyDescent="0.2">
      <c r="B96" t="s">
        <v>152</v>
      </c>
      <c r="D96" t="s">
        <v>146</v>
      </c>
      <c r="E96">
        <v>0.01</v>
      </c>
      <c r="F96">
        <v>0</v>
      </c>
      <c r="G96">
        <v>0</v>
      </c>
      <c r="H96">
        <v>10000</v>
      </c>
      <c r="I96" t="s">
        <v>23</v>
      </c>
      <c r="J96">
        <f t="shared" si="3"/>
        <v>6619</v>
      </c>
      <c r="K96" t="s">
        <v>25</v>
      </c>
      <c r="L96" s="9">
        <v>1</v>
      </c>
      <c r="M96" s="5" t="s">
        <v>27</v>
      </c>
      <c r="O96" t="s">
        <v>43</v>
      </c>
    </row>
    <row r="97" spans="2:16" outlineLevel="1" x14ac:dyDescent="0.2">
      <c r="B97" t="s">
        <v>153</v>
      </c>
      <c r="D97" t="s">
        <v>146</v>
      </c>
      <c r="E97">
        <v>0.01</v>
      </c>
      <c r="F97">
        <v>0</v>
      </c>
      <c r="G97">
        <v>0</v>
      </c>
      <c r="H97">
        <v>10000</v>
      </c>
      <c r="I97" t="s">
        <v>23</v>
      </c>
      <c r="J97">
        <f t="shared" si="3"/>
        <v>6620</v>
      </c>
      <c r="K97" t="s">
        <v>25</v>
      </c>
      <c r="L97" s="9">
        <v>20</v>
      </c>
      <c r="M97" s="5" t="s">
        <v>27</v>
      </c>
      <c r="O97" t="s">
        <v>43</v>
      </c>
    </row>
    <row r="98" spans="2:16" outlineLevel="1" x14ac:dyDescent="0.2">
      <c r="B98" t="s">
        <v>154</v>
      </c>
      <c r="D98" t="s">
        <v>146</v>
      </c>
      <c r="E98">
        <v>0.01</v>
      </c>
      <c r="F98">
        <v>0</v>
      </c>
      <c r="G98">
        <v>0</v>
      </c>
      <c r="H98">
        <v>10000</v>
      </c>
      <c r="I98" t="s">
        <v>23</v>
      </c>
      <c r="J98">
        <f t="shared" si="3"/>
        <v>6640</v>
      </c>
      <c r="K98" t="s">
        <v>25</v>
      </c>
      <c r="L98" s="9">
        <v>1</v>
      </c>
      <c r="M98" s="5" t="s">
        <v>27</v>
      </c>
      <c r="O98" t="s">
        <v>43</v>
      </c>
      <c r="P98" s="16"/>
    </row>
    <row r="99" spans="2:16" outlineLevel="1" x14ac:dyDescent="0.2">
      <c r="B99" t="s">
        <v>155</v>
      </c>
      <c r="D99" t="s">
        <v>146</v>
      </c>
      <c r="E99">
        <v>0.01</v>
      </c>
      <c r="F99">
        <v>0</v>
      </c>
      <c r="G99">
        <v>0</v>
      </c>
      <c r="H99">
        <v>10000</v>
      </c>
      <c r="I99" t="s">
        <v>23</v>
      </c>
      <c r="J99">
        <f t="shared" si="3"/>
        <v>6641</v>
      </c>
      <c r="K99" t="s">
        <v>25</v>
      </c>
      <c r="L99" s="9">
        <v>1</v>
      </c>
      <c r="M99" s="5" t="s">
        <v>27</v>
      </c>
      <c r="O99" t="s">
        <v>43</v>
      </c>
    </row>
    <row r="100" spans="2:16" outlineLevel="1" x14ac:dyDescent="0.2">
      <c r="B100" t="s">
        <v>156</v>
      </c>
      <c r="D100" t="s">
        <v>146</v>
      </c>
      <c r="E100">
        <v>0.01</v>
      </c>
      <c r="F100">
        <v>0</v>
      </c>
      <c r="G100">
        <v>0</v>
      </c>
      <c r="H100">
        <v>10000</v>
      </c>
      <c r="I100" t="s">
        <v>23</v>
      </c>
      <c r="J100">
        <f t="shared" si="3"/>
        <v>6642</v>
      </c>
      <c r="K100" t="s">
        <v>25</v>
      </c>
      <c r="L100" s="9">
        <v>20</v>
      </c>
      <c r="M100" s="5" t="s">
        <v>27</v>
      </c>
      <c r="O100" t="s">
        <v>43</v>
      </c>
    </row>
    <row r="101" spans="2:16" outlineLevel="1" x14ac:dyDescent="0.2">
      <c r="B101" t="s">
        <v>157</v>
      </c>
      <c r="D101" t="s">
        <v>146</v>
      </c>
      <c r="E101">
        <v>0.01</v>
      </c>
      <c r="F101">
        <v>0</v>
      </c>
      <c r="G101">
        <v>0</v>
      </c>
      <c r="H101">
        <v>10000</v>
      </c>
      <c r="I101" t="s">
        <v>23</v>
      </c>
      <c r="J101">
        <f t="shared" si="3"/>
        <v>6662</v>
      </c>
      <c r="K101" t="s">
        <v>25</v>
      </c>
      <c r="L101" s="9">
        <v>1</v>
      </c>
      <c r="M101" s="5" t="s">
        <v>27</v>
      </c>
      <c r="O101" t="s">
        <v>43</v>
      </c>
    </row>
    <row r="102" spans="2:16" outlineLevel="1" x14ac:dyDescent="0.2">
      <c r="B102" t="s">
        <v>158</v>
      </c>
      <c r="D102" t="s">
        <v>146</v>
      </c>
      <c r="E102">
        <v>0.01</v>
      </c>
      <c r="F102">
        <v>0</v>
      </c>
      <c r="G102">
        <v>0</v>
      </c>
      <c r="H102">
        <v>10000</v>
      </c>
      <c r="I102" t="s">
        <v>23</v>
      </c>
      <c r="J102">
        <f t="shared" si="3"/>
        <v>6663</v>
      </c>
      <c r="K102" t="s">
        <v>25</v>
      </c>
      <c r="L102" s="9">
        <v>20</v>
      </c>
      <c r="M102" s="5" t="s">
        <v>27</v>
      </c>
      <c r="O102" t="s">
        <v>43</v>
      </c>
    </row>
    <row r="103" spans="2:16" outlineLevel="1" x14ac:dyDescent="0.2">
      <c r="B103" t="s">
        <v>159</v>
      </c>
      <c r="D103" t="s">
        <v>146</v>
      </c>
      <c r="E103">
        <v>0.01</v>
      </c>
      <c r="F103">
        <v>0</v>
      </c>
      <c r="G103">
        <v>0</v>
      </c>
      <c r="H103">
        <v>10000</v>
      </c>
      <c r="I103" t="s">
        <v>23</v>
      </c>
      <c r="J103">
        <f t="shared" si="3"/>
        <v>6683</v>
      </c>
      <c r="K103" t="s">
        <v>25</v>
      </c>
      <c r="L103" s="9">
        <v>1</v>
      </c>
      <c r="M103" s="5" t="s">
        <v>27</v>
      </c>
      <c r="O103" t="s">
        <v>43</v>
      </c>
    </row>
    <row r="104" spans="2:16" outlineLevel="1" x14ac:dyDescent="0.2">
      <c r="B104" t="s">
        <v>160</v>
      </c>
      <c r="D104" t="s">
        <v>146</v>
      </c>
      <c r="E104">
        <v>0.01</v>
      </c>
      <c r="F104">
        <v>0</v>
      </c>
      <c r="G104">
        <v>0</v>
      </c>
      <c r="H104">
        <v>10000</v>
      </c>
      <c r="I104" t="s">
        <v>23</v>
      </c>
      <c r="J104">
        <f t="shared" si="3"/>
        <v>6684</v>
      </c>
      <c r="K104" t="s">
        <v>25</v>
      </c>
      <c r="L104" s="9">
        <v>20</v>
      </c>
      <c r="M104" s="5" t="s">
        <v>27</v>
      </c>
      <c r="O104" t="s">
        <v>43</v>
      </c>
    </row>
    <row r="105" spans="2:16" outlineLevel="1" x14ac:dyDescent="0.2">
      <c r="B105" t="s">
        <v>161</v>
      </c>
      <c r="D105" t="s">
        <v>146</v>
      </c>
      <c r="E105">
        <v>0.01</v>
      </c>
      <c r="F105">
        <v>0</v>
      </c>
      <c r="G105">
        <v>0</v>
      </c>
      <c r="H105">
        <v>10000</v>
      </c>
      <c r="I105" t="s">
        <v>23</v>
      </c>
      <c r="J105">
        <f t="shared" si="3"/>
        <v>6704</v>
      </c>
      <c r="K105" t="s">
        <v>25</v>
      </c>
      <c r="L105" s="9">
        <v>1</v>
      </c>
      <c r="M105" s="5" t="s">
        <v>27</v>
      </c>
      <c r="O105" t="s">
        <v>43</v>
      </c>
      <c r="P105" s="16"/>
    </row>
    <row r="106" spans="2:16" outlineLevel="1" x14ac:dyDescent="0.2">
      <c r="B106" t="s">
        <v>162</v>
      </c>
      <c r="D106" t="s">
        <v>146</v>
      </c>
      <c r="E106">
        <v>0.01</v>
      </c>
      <c r="F106">
        <v>0</v>
      </c>
      <c r="G106">
        <v>0</v>
      </c>
      <c r="H106">
        <v>10000</v>
      </c>
      <c r="I106" t="s">
        <v>23</v>
      </c>
      <c r="J106">
        <f t="shared" si="3"/>
        <v>6705</v>
      </c>
      <c r="K106" t="s">
        <v>25</v>
      </c>
      <c r="L106" s="9">
        <v>1</v>
      </c>
      <c r="M106" s="5" t="s">
        <v>27</v>
      </c>
      <c r="O106" t="s">
        <v>43</v>
      </c>
    </row>
    <row r="107" spans="2:16" outlineLevel="1" x14ac:dyDescent="0.2">
      <c r="B107" t="s">
        <v>163</v>
      </c>
      <c r="D107" t="s">
        <v>146</v>
      </c>
      <c r="E107">
        <v>0.01</v>
      </c>
      <c r="F107">
        <v>0</v>
      </c>
      <c r="G107">
        <v>0</v>
      </c>
      <c r="H107">
        <v>10000</v>
      </c>
      <c r="I107" t="s">
        <v>23</v>
      </c>
      <c r="J107">
        <f t="shared" si="3"/>
        <v>6706</v>
      </c>
      <c r="K107" t="s">
        <v>25</v>
      </c>
      <c r="L107" s="9">
        <v>20</v>
      </c>
      <c r="M107" s="5" t="s">
        <v>27</v>
      </c>
      <c r="O107" t="s">
        <v>43</v>
      </c>
    </row>
    <row r="108" spans="2:16" outlineLevel="1" x14ac:dyDescent="0.2">
      <c r="B108" t="s">
        <v>164</v>
      </c>
      <c r="D108" t="s">
        <v>146</v>
      </c>
      <c r="E108">
        <v>0.01</v>
      </c>
      <c r="F108">
        <v>0</v>
      </c>
      <c r="G108">
        <v>0</v>
      </c>
      <c r="H108">
        <v>10000</v>
      </c>
      <c r="I108" t="s">
        <v>23</v>
      </c>
      <c r="J108">
        <f t="shared" si="3"/>
        <v>6726</v>
      </c>
      <c r="K108" t="s">
        <v>25</v>
      </c>
      <c r="L108" s="9">
        <v>1</v>
      </c>
      <c r="M108" s="5" t="s">
        <v>27</v>
      </c>
      <c r="O108" t="s">
        <v>43</v>
      </c>
    </row>
    <row r="109" spans="2:16" outlineLevel="1" x14ac:dyDescent="0.2">
      <c r="B109" t="s">
        <v>165</v>
      </c>
      <c r="D109" t="s">
        <v>146</v>
      </c>
      <c r="E109">
        <v>0.01</v>
      </c>
      <c r="F109">
        <v>0</v>
      </c>
      <c r="G109">
        <v>0</v>
      </c>
      <c r="H109">
        <v>10000</v>
      </c>
      <c r="I109" t="s">
        <v>23</v>
      </c>
      <c r="J109">
        <f t="shared" si="3"/>
        <v>6727</v>
      </c>
      <c r="K109" t="s">
        <v>25</v>
      </c>
      <c r="L109" s="9">
        <v>20</v>
      </c>
      <c r="M109" s="5" t="s">
        <v>27</v>
      </c>
      <c r="O109" t="s">
        <v>43</v>
      </c>
    </row>
    <row r="110" spans="2:16" outlineLevel="1" x14ac:dyDescent="0.2">
      <c r="B110" t="s">
        <v>166</v>
      </c>
      <c r="D110" t="s">
        <v>146</v>
      </c>
      <c r="E110">
        <v>0.01</v>
      </c>
      <c r="F110">
        <v>0</v>
      </c>
      <c r="G110">
        <v>0</v>
      </c>
      <c r="H110">
        <v>10000</v>
      </c>
      <c r="I110" t="s">
        <v>23</v>
      </c>
      <c r="J110">
        <f t="shared" si="3"/>
        <v>6747</v>
      </c>
      <c r="K110" t="s">
        <v>25</v>
      </c>
      <c r="L110" s="9">
        <v>1</v>
      </c>
      <c r="M110" s="5" t="s">
        <v>27</v>
      </c>
      <c r="O110" t="s">
        <v>43</v>
      </c>
    </row>
    <row r="111" spans="2:16" outlineLevel="1" x14ac:dyDescent="0.2">
      <c r="B111" t="s">
        <v>167</v>
      </c>
      <c r="D111" t="s">
        <v>146</v>
      </c>
      <c r="E111">
        <v>0.01</v>
      </c>
      <c r="F111">
        <v>0</v>
      </c>
      <c r="G111">
        <v>0</v>
      </c>
      <c r="H111">
        <v>10000</v>
      </c>
      <c r="I111" t="s">
        <v>23</v>
      </c>
      <c r="J111">
        <f t="shared" si="3"/>
        <v>6748</v>
      </c>
      <c r="K111" t="s">
        <v>25</v>
      </c>
      <c r="L111" s="9">
        <v>20</v>
      </c>
      <c r="M111" s="5" t="s">
        <v>27</v>
      </c>
      <c r="O111" t="s">
        <v>43</v>
      </c>
    </row>
    <row r="112" spans="2:16" x14ac:dyDescent="0.2">
      <c r="B112" s="4" t="s">
        <v>168</v>
      </c>
      <c r="C112" t="s">
        <v>169</v>
      </c>
      <c r="D112" t="s">
        <v>146</v>
      </c>
      <c r="E112">
        <v>0.01</v>
      </c>
      <c r="F112">
        <v>0</v>
      </c>
      <c r="G112">
        <v>0</v>
      </c>
      <c r="H112">
        <v>10000</v>
      </c>
      <c r="I112" t="s">
        <v>23</v>
      </c>
      <c r="J112" s="4">
        <f>J113</f>
        <v>6768</v>
      </c>
      <c r="K112" t="s">
        <v>25</v>
      </c>
      <c r="L112" s="10">
        <f>SUM(L113:L133)</f>
        <v>192</v>
      </c>
      <c r="M112" s="5" t="s">
        <v>27</v>
      </c>
      <c r="O112" t="s">
        <v>43</v>
      </c>
    </row>
    <row r="113" spans="2:15" outlineLevel="1" x14ac:dyDescent="0.2">
      <c r="B113" t="s">
        <v>170</v>
      </c>
      <c r="D113" t="s">
        <v>146</v>
      </c>
      <c r="E113">
        <v>0.01</v>
      </c>
      <c r="F113">
        <v>0</v>
      </c>
      <c r="G113">
        <v>0</v>
      </c>
      <c r="H113">
        <v>10000</v>
      </c>
      <c r="I113" t="s">
        <v>23</v>
      </c>
      <c r="J113">
        <f>J111+L111</f>
        <v>6768</v>
      </c>
      <c r="K113" t="s">
        <v>25</v>
      </c>
      <c r="L113" s="9">
        <v>1</v>
      </c>
      <c r="M113" s="5" t="s">
        <v>27</v>
      </c>
      <c r="O113" t="s">
        <v>43</v>
      </c>
    </row>
    <row r="114" spans="2:15" outlineLevel="1" x14ac:dyDescent="0.2">
      <c r="B114" t="s">
        <v>171</v>
      </c>
      <c r="D114" t="s">
        <v>146</v>
      </c>
      <c r="E114">
        <v>0.01</v>
      </c>
      <c r="F114">
        <v>0</v>
      </c>
      <c r="G114">
        <v>0</v>
      </c>
      <c r="H114">
        <v>10000</v>
      </c>
      <c r="I114" t="s">
        <v>23</v>
      </c>
      <c r="J114">
        <f>J113+L113</f>
        <v>6769</v>
      </c>
      <c r="K114" t="s">
        <v>25</v>
      </c>
      <c r="L114" s="9">
        <v>1</v>
      </c>
      <c r="M114" s="5" t="s">
        <v>27</v>
      </c>
      <c r="O114" t="s">
        <v>43</v>
      </c>
    </row>
    <row r="115" spans="2:15" outlineLevel="1" x14ac:dyDescent="0.2">
      <c r="B115" t="s">
        <v>172</v>
      </c>
      <c r="D115" t="s">
        <v>146</v>
      </c>
      <c r="E115">
        <v>0.01</v>
      </c>
      <c r="F115">
        <v>0</v>
      </c>
      <c r="G115">
        <v>0</v>
      </c>
      <c r="H115">
        <v>10000</v>
      </c>
      <c r="I115" t="s">
        <v>23</v>
      </c>
      <c r="J115">
        <f t="shared" ref="J115:J133" si="4">J114+L114</f>
        <v>6770</v>
      </c>
      <c r="K115" t="s">
        <v>25</v>
      </c>
      <c r="L115" s="9">
        <v>20</v>
      </c>
      <c r="M115" s="5" t="s">
        <v>27</v>
      </c>
      <c r="O115" t="s">
        <v>43</v>
      </c>
    </row>
    <row r="116" spans="2:15" outlineLevel="1" x14ac:dyDescent="0.2">
      <c r="B116" t="s">
        <v>173</v>
      </c>
      <c r="D116" t="s">
        <v>146</v>
      </c>
      <c r="E116">
        <v>0.01</v>
      </c>
      <c r="F116">
        <v>0</v>
      </c>
      <c r="G116">
        <v>0</v>
      </c>
      <c r="H116">
        <v>10000</v>
      </c>
      <c r="I116" t="s">
        <v>23</v>
      </c>
      <c r="J116">
        <f t="shared" si="4"/>
        <v>6790</v>
      </c>
      <c r="K116" t="s">
        <v>25</v>
      </c>
      <c r="L116" s="9">
        <v>1</v>
      </c>
      <c r="M116" s="5" t="s">
        <v>27</v>
      </c>
      <c r="O116" t="s">
        <v>43</v>
      </c>
    </row>
    <row r="117" spans="2:15" outlineLevel="1" x14ac:dyDescent="0.2">
      <c r="B117" t="s">
        <v>174</v>
      </c>
      <c r="D117" t="s">
        <v>146</v>
      </c>
      <c r="E117">
        <v>0.01</v>
      </c>
      <c r="F117">
        <v>0</v>
      </c>
      <c r="G117">
        <v>0</v>
      </c>
      <c r="H117">
        <v>10000</v>
      </c>
      <c r="I117" t="s">
        <v>23</v>
      </c>
      <c r="J117">
        <f t="shared" si="4"/>
        <v>6791</v>
      </c>
      <c r="K117" t="s">
        <v>25</v>
      </c>
      <c r="L117" s="9">
        <v>20</v>
      </c>
      <c r="M117" s="5" t="s">
        <v>27</v>
      </c>
      <c r="O117" t="s">
        <v>43</v>
      </c>
    </row>
    <row r="118" spans="2:15" outlineLevel="1" x14ac:dyDescent="0.2">
      <c r="B118" t="s">
        <v>175</v>
      </c>
      <c r="D118" t="s">
        <v>146</v>
      </c>
      <c r="E118">
        <v>0.01</v>
      </c>
      <c r="F118">
        <v>0</v>
      </c>
      <c r="G118">
        <v>0</v>
      </c>
      <c r="H118">
        <v>10000</v>
      </c>
      <c r="I118" t="s">
        <v>23</v>
      </c>
      <c r="J118">
        <f t="shared" si="4"/>
        <v>6811</v>
      </c>
      <c r="K118" t="s">
        <v>25</v>
      </c>
      <c r="L118" s="9">
        <v>1</v>
      </c>
      <c r="M118" s="5" t="s">
        <v>27</v>
      </c>
      <c r="O118" t="s">
        <v>43</v>
      </c>
    </row>
    <row r="119" spans="2:15" outlineLevel="1" x14ac:dyDescent="0.2">
      <c r="B119" t="s">
        <v>176</v>
      </c>
      <c r="D119" t="s">
        <v>146</v>
      </c>
      <c r="E119">
        <v>0.01</v>
      </c>
      <c r="F119">
        <v>0</v>
      </c>
      <c r="G119">
        <v>0</v>
      </c>
      <c r="H119">
        <v>10000</v>
      </c>
      <c r="I119" t="s">
        <v>23</v>
      </c>
      <c r="J119">
        <f t="shared" si="4"/>
        <v>6812</v>
      </c>
      <c r="K119" t="s">
        <v>25</v>
      </c>
      <c r="L119" s="9">
        <v>20</v>
      </c>
      <c r="M119" s="5" t="s">
        <v>27</v>
      </c>
      <c r="O119" t="s">
        <v>43</v>
      </c>
    </row>
    <row r="120" spans="2:15" outlineLevel="1" x14ac:dyDescent="0.2">
      <c r="B120" t="s">
        <v>177</v>
      </c>
      <c r="D120" t="s">
        <v>146</v>
      </c>
      <c r="E120">
        <v>0.01</v>
      </c>
      <c r="F120">
        <v>0</v>
      </c>
      <c r="G120">
        <v>0</v>
      </c>
      <c r="H120">
        <v>10000</v>
      </c>
      <c r="I120" t="s">
        <v>23</v>
      </c>
      <c r="J120">
        <f t="shared" si="4"/>
        <v>6832</v>
      </c>
      <c r="K120" t="s">
        <v>25</v>
      </c>
      <c r="L120" s="9">
        <v>1</v>
      </c>
      <c r="M120" s="5" t="s">
        <v>27</v>
      </c>
      <c r="O120" t="s">
        <v>43</v>
      </c>
    </row>
    <row r="121" spans="2:15" outlineLevel="1" x14ac:dyDescent="0.2">
      <c r="B121" t="s">
        <v>178</v>
      </c>
      <c r="D121" t="s">
        <v>146</v>
      </c>
      <c r="E121">
        <v>0.01</v>
      </c>
      <c r="F121">
        <v>0</v>
      </c>
      <c r="G121">
        <v>0</v>
      </c>
      <c r="H121">
        <v>10000</v>
      </c>
      <c r="I121" t="s">
        <v>23</v>
      </c>
      <c r="J121">
        <f t="shared" si="4"/>
        <v>6833</v>
      </c>
      <c r="K121" t="s">
        <v>25</v>
      </c>
      <c r="L121" s="9">
        <v>1</v>
      </c>
      <c r="M121" s="5" t="s">
        <v>27</v>
      </c>
      <c r="O121" t="s">
        <v>43</v>
      </c>
    </row>
    <row r="122" spans="2:15" outlineLevel="1" x14ac:dyDescent="0.2">
      <c r="B122" t="s">
        <v>179</v>
      </c>
      <c r="D122" t="s">
        <v>146</v>
      </c>
      <c r="E122">
        <v>0.01</v>
      </c>
      <c r="F122">
        <v>0</v>
      </c>
      <c r="G122">
        <v>0</v>
      </c>
      <c r="H122">
        <v>10000</v>
      </c>
      <c r="I122" t="s">
        <v>23</v>
      </c>
      <c r="J122">
        <f t="shared" si="4"/>
        <v>6834</v>
      </c>
      <c r="K122" t="s">
        <v>25</v>
      </c>
      <c r="L122" s="9">
        <v>20</v>
      </c>
      <c r="M122" s="5" t="s">
        <v>27</v>
      </c>
      <c r="O122" t="s">
        <v>43</v>
      </c>
    </row>
    <row r="123" spans="2:15" outlineLevel="1" x14ac:dyDescent="0.2">
      <c r="B123" t="s">
        <v>180</v>
      </c>
      <c r="D123" t="s">
        <v>146</v>
      </c>
      <c r="E123">
        <v>0.01</v>
      </c>
      <c r="F123">
        <v>0</v>
      </c>
      <c r="G123">
        <v>0</v>
      </c>
      <c r="H123">
        <v>10000</v>
      </c>
      <c r="I123" t="s">
        <v>23</v>
      </c>
      <c r="J123">
        <f t="shared" si="4"/>
        <v>6854</v>
      </c>
      <c r="K123" t="s">
        <v>25</v>
      </c>
      <c r="L123" s="9">
        <v>1</v>
      </c>
      <c r="M123" s="5" t="s">
        <v>27</v>
      </c>
      <c r="O123" t="s">
        <v>43</v>
      </c>
    </row>
    <row r="124" spans="2:15" outlineLevel="1" x14ac:dyDescent="0.2">
      <c r="B124" t="s">
        <v>181</v>
      </c>
      <c r="D124" t="s">
        <v>146</v>
      </c>
      <c r="E124">
        <v>0.01</v>
      </c>
      <c r="F124">
        <v>0</v>
      </c>
      <c r="G124">
        <v>0</v>
      </c>
      <c r="H124">
        <v>10000</v>
      </c>
      <c r="I124" t="s">
        <v>23</v>
      </c>
      <c r="J124">
        <f t="shared" si="4"/>
        <v>6855</v>
      </c>
      <c r="K124" t="s">
        <v>25</v>
      </c>
      <c r="L124" s="9">
        <v>20</v>
      </c>
      <c r="M124" s="5" t="s">
        <v>27</v>
      </c>
      <c r="O124" t="s">
        <v>43</v>
      </c>
    </row>
    <row r="125" spans="2:15" outlineLevel="1" x14ac:dyDescent="0.2">
      <c r="B125" t="s">
        <v>182</v>
      </c>
      <c r="D125" t="s">
        <v>146</v>
      </c>
      <c r="E125">
        <v>0.01</v>
      </c>
      <c r="F125">
        <v>0</v>
      </c>
      <c r="G125">
        <v>0</v>
      </c>
      <c r="H125">
        <v>10000</v>
      </c>
      <c r="I125" t="s">
        <v>23</v>
      </c>
      <c r="J125">
        <f t="shared" si="4"/>
        <v>6875</v>
      </c>
      <c r="K125" t="s">
        <v>25</v>
      </c>
      <c r="L125" s="9">
        <v>1</v>
      </c>
      <c r="M125" s="5" t="s">
        <v>27</v>
      </c>
      <c r="O125" t="s">
        <v>43</v>
      </c>
    </row>
    <row r="126" spans="2:15" outlineLevel="1" x14ac:dyDescent="0.2">
      <c r="B126" t="s">
        <v>183</v>
      </c>
      <c r="D126" t="s">
        <v>146</v>
      </c>
      <c r="E126">
        <v>0.01</v>
      </c>
      <c r="F126">
        <v>0</v>
      </c>
      <c r="G126">
        <v>0</v>
      </c>
      <c r="H126">
        <v>10000</v>
      </c>
      <c r="I126" t="s">
        <v>23</v>
      </c>
      <c r="J126">
        <f t="shared" si="4"/>
        <v>6876</v>
      </c>
      <c r="K126" t="s">
        <v>25</v>
      </c>
      <c r="L126" s="9">
        <v>20</v>
      </c>
      <c r="M126" s="5" t="s">
        <v>27</v>
      </c>
      <c r="O126" t="s">
        <v>43</v>
      </c>
    </row>
    <row r="127" spans="2:15" outlineLevel="1" x14ac:dyDescent="0.2">
      <c r="B127" t="s">
        <v>184</v>
      </c>
      <c r="D127" t="s">
        <v>146</v>
      </c>
      <c r="E127">
        <v>0.01</v>
      </c>
      <c r="F127">
        <v>0</v>
      </c>
      <c r="G127">
        <v>0</v>
      </c>
      <c r="H127">
        <v>10000</v>
      </c>
      <c r="I127" t="s">
        <v>23</v>
      </c>
      <c r="J127">
        <f t="shared" si="4"/>
        <v>6896</v>
      </c>
      <c r="K127" t="s">
        <v>25</v>
      </c>
      <c r="L127" s="9">
        <v>1</v>
      </c>
      <c r="M127" s="5" t="s">
        <v>27</v>
      </c>
      <c r="O127" t="s">
        <v>43</v>
      </c>
    </row>
    <row r="128" spans="2:15" outlineLevel="1" x14ac:dyDescent="0.2">
      <c r="B128" t="s">
        <v>185</v>
      </c>
      <c r="D128" t="s">
        <v>146</v>
      </c>
      <c r="E128">
        <v>0.01</v>
      </c>
      <c r="F128">
        <v>0</v>
      </c>
      <c r="G128">
        <v>0</v>
      </c>
      <c r="H128">
        <v>10000</v>
      </c>
      <c r="I128" t="s">
        <v>23</v>
      </c>
      <c r="J128">
        <f t="shared" si="4"/>
        <v>6897</v>
      </c>
      <c r="K128" t="s">
        <v>25</v>
      </c>
      <c r="L128" s="9">
        <v>1</v>
      </c>
      <c r="M128" s="5" t="s">
        <v>27</v>
      </c>
      <c r="O128" t="s">
        <v>43</v>
      </c>
    </row>
    <row r="129" spans="1:15" outlineLevel="1" x14ac:dyDescent="0.2">
      <c r="B129" t="s">
        <v>186</v>
      </c>
      <c r="D129" t="s">
        <v>146</v>
      </c>
      <c r="E129">
        <v>0.01</v>
      </c>
      <c r="F129">
        <v>0</v>
      </c>
      <c r="G129">
        <v>0</v>
      </c>
      <c r="H129">
        <v>10000</v>
      </c>
      <c r="I129" t="s">
        <v>23</v>
      </c>
      <c r="J129">
        <f t="shared" si="4"/>
        <v>6898</v>
      </c>
      <c r="K129" t="s">
        <v>25</v>
      </c>
      <c r="L129" s="9">
        <v>20</v>
      </c>
      <c r="M129" s="5" t="s">
        <v>27</v>
      </c>
      <c r="O129" t="s">
        <v>43</v>
      </c>
    </row>
    <row r="130" spans="1:15" outlineLevel="1" x14ac:dyDescent="0.2">
      <c r="B130" t="s">
        <v>187</v>
      </c>
      <c r="D130" t="s">
        <v>146</v>
      </c>
      <c r="E130">
        <v>0.01</v>
      </c>
      <c r="F130">
        <v>0</v>
      </c>
      <c r="G130">
        <v>0</v>
      </c>
      <c r="H130">
        <v>10000</v>
      </c>
      <c r="I130" t="s">
        <v>23</v>
      </c>
      <c r="J130">
        <f t="shared" si="4"/>
        <v>6918</v>
      </c>
      <c r="K130" t="s">
        <v>25</v>
      </c>
      <c r="L130" s="9">
        <v>1</v>
      </c>
      <c r="M130" s="5" t="s">
        <v>27</v>
      </c>
      <c r="O130" t="s">
        <v>43</v>
      </c>
    </row>
    <row r="131" spans="1:15" outlineLevel="1" x14ac:dyDescent="0.2">
      <c r="B131" t="s">
        <v>188</v>
      </c>
      <c r="D131" t="s">
        <v>146</v>
      </c>
      <c r="E131">
        <v>0.01</v>
      </c>
      <c r="F131">
        <v>0</v>
      </c>
      <c r="G131">
        <v>0</v>
      </c>
      <c r="H131">
        <v>10000</v>
      </c>
      <c r="I131" t="s">
        <v>23</v>
      </c>
      <c r="J131">
        <f t="shared" si="4"/>
        <v>6919</v>
      </c>
      <c r="K131" t="s">
        <v>25</v>
      </c>
      <c r="L131" s="9">
        <v>20</v>
      </c>
      <c r="M131" s="5" t="s">
        <v>27</v>
      </c>
      <c r="O131" t="s">
        <v>43</v>
      </c>
    </row>
    <row r="132" spans="1:15" outlineLevel="1" x14ac:dyDescent="0.2">
      <c r="B132" t="s">
        <v>189</v>
      </c>
      <c r="D132" t="s">
        <v>146</v>
      </c>
      <c r="E132">
        <v>0.01</v>
      </c>
      <c r="F132">
        <v>0</v>
      </c>
      <c r="G132">
        <v>0</v>
      </c>
      <c r="H132">
        <v>10000</v>
      </c>
      <c r="I132" t="s">
        <v>23</v>
      </c>
      <c r="J132">
        <f t="shared" si="4"/>
        <v>6939</v>
      </c>
      <c r="K132" t="s">
        <v>25</v>
      </c>
      <c r="L132" s="9">
        <v>1</v>
      </c>
      <c r="M132" s="5" t="s">
        <v>27</v>
      </c>
      <c r="O132" t="s">
        <v>43</v>
      </c>
    </row>
    <row r="133" spans="1:15" outlineLevel="1" x14ac:dyDescent="0.2">
      <c r="B133" t="s">
        <v>190</v>
      </c>
      <c r="D133" t="s">
        <v>146</v>
      </c>
      <c r="E133">
        <v>0.01</v>
      </c>
      <c r="F133">
        <v>0</v>
      </c>
      <c r="G133">
        <v>0</v>
      </c>
      <c r="H133">
        <v>10000</v>
      </c>
      <c r="I133" t="s">
        <v>23</v>
      </c>
      <c r="J133">
        <f t="shared" si="4"/>
        <v>6940</v>
      </c>
      <c r="K133" t="s">
        <v>25</v>
      </c>
      <c r="L133" s="9">
        <v>20</v>
      </c>
      <c r="M133" s="5" t="s">
        <v>27</v>
      </c>
      <c r="O133" t="s">
        <v>43</v>
      </c>
    </row>
    <row r="134" spans="1:15" x14ac:dyDescent="0.2">
      <c r="B134" s="4" t="s">
        <v>191</v>
      </c>
      <c r="C134" t="s">
        <v>192</v>
      </c>
      <c r="D134" t="s">
        <v>122</v>
      </c>
      <c r="E134">
        <v>0.01</v>
      </c>
      <c r="F134">
        <v>0</v>
      </c>
      <c r="G134">
        <v>0</v>
      </c>
      <c r="H134">
        <v>20000</v>
      </c>
      <c r="I134" t="s">
        <v>23</v>
      </c>
      <c r="J134" s="4">
        <f>J135</f>
        <v>6960</v>
      </c>
      <c r="K134" t="s">
        <v>25</v>
      </c>
      <c r="L134" s="10">
        <f>SUM(L135:L142)</f>
        <v>8</v>
      </c>
      <c r="M134" s="5" t="s">
        <v>27</v>
      </c>
      <c r="O134" t="s">
        <v>43</v>
      </c>
    </row>
    <row r="135" spans="1:15" outlineLevel="1" x14ac:dyDescent="0.2">
      <c r="A135" s="23"/>
      <c r="B135" t="s">
        <v>193</v>
      </c>
      <c r="D135" t="s">
        <v>122</v>
      </c>
      <c r="E135" t="s">
        <v>22</v>
      </c>
      <c r="F135">
        <v>0</v>
      </c>
      <c r="G135">
        <v>-98</v>
      </c>
      <c r="H135">
        <v>98</v>
      </c>
      <c r="I135" t="s">
        <v>23</v>
      </c>
      <c r="J135">
        <f>J133+L133</f>
        <v>6960</v>
      </c>
      <c r="K135" t="s">
        <v>25</v>
      </c>
      <c r="L135" s="9">
        <v>1</v>
      </c>
      <c r="M135" s="5" t="s">
        <v>27</v>
      </c>
      <c r="O135" t="s">
        <v>43</v>
      </c>
    </row>
    <row r="136" spans="1:15" outlineLevel="1" x14ac:dyDescent="0.2">
      <c r="A136" s="23"/>
      <c r="B136" t="s">
        <v>194</v>
      </c>
      <c r="D136" t="s">
        <v>122</v>
      </c>
      <c r="E136" t="s">
        <v>22</v>
      </c>
      <c r="F136">
        <v>0</v>
      </c>
      <c r="G136">
        <v>-98</v>
      </c>
      <c r="H136">
        <v>98</v>
      </c>
      <c r="I136" t="s">
        <v>23</v>
      </c>
      <c r="J136">
        <f>J135+L135</f>
        <v>6961</v>
      </c>
      <c r="K136" t="s">
        <v>25</v>
      </c>
      <c r="L136" s="9">
        <v>1</v>
      </c>
      <c r="M136" s="5" t="s">
        <v>27</v>
      </c>
      <c r="O136" t="s">
        <v>43</v>
      </c>
    </row>
    <row r="137" spans="1:15" outlineLevel="1" x14ac:dyDescent="0.2">
      <c r="A137" s="23"/>
      <c r="B137" t="s">
        <v>195</v>
      </c>
      <c r="D137" t="s">
        <v>122</v>
      </c>
      <c r="E137" t="s">
        <v>22</v>
      </c>
      <c r="F137">
        <v>0</v>
      </c>
      <c r="G137">
        <v>-98</v>
      </c>
      <c r="H137">
        <v>98</v>
      </c>
      <c r="I137" t="s">
        <v>23</v>
      </c>
      <c r="J137">
        <f>J136+L136</f>
        <v>6962</v>
      </c>
      <c r="K137" t="s">
        <v>25</v>
      </c>
      <c r="L137" s="9">
        <v>1</v>
      </c>
      <c r="M137" s="5" t="s">
        <v>27</v>
      </c>
      <c r="O137" t="s">
        <v>43</v>
      </c>
    </row>
    <row r="138" spans="1:15" outlineLevel="1" x14ac:dyDescent="0.2">
      <c r="A138" s="23"/>
      <c r="B138" t="s">
        <v>196</v>
      </c>
      <c r="D138" t="s">
        <v>122</v>
      </c>
      <c r="E138" t="s">
        <v>22</v>
      </c>
      <c r="F138">
        <v>0</v>
      </c>
      <c r="G138">
        <v>-98</v>
      </c>
      <c r="H138">
        <v>98</v>
      </c>
      <c r="I138" t="s">
        <v>23</v>
      </c>
      <c r="J138">
        <f t="shared" ref="J138:J142" si="5">J137+L137</f>
        <v>6963</v>
      </c>
      <c r="K138" t="s">
        <v>25</v>
      </c>
      <c r="L138" s="9">
        <v>1</v>
      </c>
      <c r="M138" s="5" t="s">
        <v>27</v>
      </c>
      <c r="O138" t="s">
        <v>43</v>
      </c>
    </row>
    <row r="139" spans="1:15" outlineLevel="1" x14ac:dyDescent="0.2">
      <c r="A139" s="23"/>
      <c r="B139" t="s">
        <v>197</v>
      </c>
      <c r="D139" t="s">
        <v>122</v>
      </c>
      <c r="E139" t="s">
        <v>22</v>
      </c>
      <c r="F139">
        <v>0</v>
      </c>
      <c r="G139">
        <v>-98</v>
      </c>
      <c r="H139">
        <v>98</v>
      </c>
      <c r="I139" t="s">
        <v>23</v>
      </c>
      <c r="J139">
        <f t="shared" si="5"/>
        <v>6964</v>
      </c>
      <c r="K139" t="s">
        <v>25</v>
      </c>
      <c r="L139" s="9">
        <v>1</v>
      </c>
      <c r="M139" s="5" t="s">
        <v>27</v>
      </c>
      <c r="O139" t="s">
        <v>43</v>
      </c>
    </row>
    <row r="140" spans="1:15" outlineLevel="1" x14ac:dyDescent="0.2">
      <c r="A140" s="23"/>
      <c r="B140" t="s">
        <v>198</v>
      </c>
      <c r="D140" t="s">
        <v>122</v>
      </c>
      <c r="E140" t="s">
        <v>22</v>
      </c>
      <c r="F140">
        <v>0</v>
      </c>
      <c r="G140">
        <v>-98</v>
      </c>
      <c r="H140">
        <v>98</v>
      </c>
      <c r="I140" t="s">
        <v>23</v>
      </c>
      <c r="J140">
        <f t="shared" si="5"/>
        <v>6965</v>
      </c>
      <c r="K140" t="s">
        <v>25</v>
      </c>
      <c r="L140" s="9">
        <v>1</v>
      </c>
      <c r="M140" s="5" t="s">
        <v>27</v>
      </c>
      <c r="O140" t="s">
        <v>43</v>
      </c>
    </row>
    <row r="141" spans="1:15" outlineLevel="1" x14ac:dyDescent="0.2">
      <c r="A141" s="23"/>
      <c r="B141" t="s">
        <v>199</v>
      </c>
      <c r="D141" t="s">
        <v>122</v>
      </c>
      <c r="E141" t="s">
        <v>22</v>
      </c>
      <c r="F141">
        <v>0</v>
      </c>
      <c r="G141">
        <v>-98</v>
      </c>
      <c r="H141">
        <v>98</v>
      </c>
      <c r="I141" t="s">
        <v>23</v>
      </c>
      <c r="J141">
        <f t="shared" si="5"/>
        <v>6966</v>
      </c>
      <c r="K141" t="s">
        <v>25</v>
      </c>
      <c r="L141" s="9">
        <v>1</v>
      </c>
      <c r="M141" s="5" t="s">
        <v>27</v>
      </c>
      <c r="O141" t="s">
        <v>43</v>
      </c>
    </row>
    <row r="142" spans="1:15" outlineLevel="1" x14ac:dyDescent="0.2">
      <c r="A142" s="23"/>
      <c r="B142" t="s">
        <v>200</v>
      </c>
      <c r="D142" t="s">
        <v>122</v>
      </c>
      <c r="E142" t="s">
        <v>22</v>
      </c>
      <c r="F142">
        <v>0</v>
      </c>
      <c r="G142">
        <v>-98</v>
      </c>
      <c r="H142">
        <v>98</v>
      </c>
      <c r="I142" t="s">
        <v>23</v>
      </c>
      <c r="J142">
        <f t="shared" si="5"/>
        <v>6967</v>
      </c>
      <c r="K142" t="s">
        <v>25</v>
      </c>
      <c r="L142" s="9">
        <v>1</v>
      </c>
      <c r="M142" s="5" t="s">
        <v>27</v>
      </c>
      <c r="O142" t="s">
        <v>43</v>
      </c>
    </row>
    <row r="143" spans="1:15" x14ac:dyDescent="0.2">
      <c r="B143" t="s">
        <v>201</v>
      </c>
      <c r="C143" t="s">
        <v>202</v>
      </c>
      <c r="D143" t="s">
        <v>203</v>
      </c>
      <c r="E143" t="s">
        <v>22</v>
      </c>
      <c r="F143">
        <v>0</v>
      </c>
      <c r="G143" t="s">
        <v>32</v>
      </c>
      <c r="H143" t="s">
        <v>32</v>
      </c>
      <c r="I143" t="s">
        <v>23</v>
      </c>
      <c r="J143">
        <v>6968</v>
      </c>
      <c r="K143" t="s">
        <v>25</v>
      </c>
      <c r="L143" s="9">
        <v>1</v>
      </c>
      <c r="M143" s="5" t="s">
        <v>42</v>
      </c>
      <c r="O143" t="s">
        <v>43</v>
      </c>
    </row>
    <row r="144" spans="1:15" x14ac:dyDescent="0.2">
      <c r="B144" t="s">
        <v>204</v>
      </c>
      <c r="C144" t="s">
        <v>205</v>
      </c>
      <c r="D144" t="s">
        <v>206</v>
      </c>
      <c r="E144" t="s">
        <v>22</v>
      </c>
      <c r="F144">
        <v>0</v>
      </c>
      <c r="G144">
        <v>-10000</v>
      </c>
      <c r="H144">
        <v>10000</v>
      </c>
      <c r="I144" t="s">
        <v>23</v>
      </c>
      <c r="J144">
        <v>7000</v>
      </c>
      <c r="K144" t="s">
        <v>25</v>
      </c>
      <c r="L144" s="9">
        <v>20</v>
      </c>
      <c r="N144" s="5" t="s">
        <v>28</v>
      </c>
      <c r="O144" t="s">
        <v>35</v>
      </c>
    </row>
    <row r="145" spans="1:16" x14ac:dyDescent="0.2">
      <c r="B145" t="s">
        <v>207</v>
      </c>
      <c r="C145" t="s">
        <v>208</v>
      </c>
      <c r="D145" t="s">
        <v>206</v>
      </c>
      <c r="E145" t="s">
        <v>22</v>
      </c>
      <c r="F145">
        <v>0</v>
      </c>
      <c r="G145">
        <v>-10000</v>
      </c>
      <c r="H145">
        <v>10000</v>
      </c>
      <c r="I145" t="s">
        <v>23</v>
      </c>
      <c r="J145">
        <v>7020</v>
      </c>
      <c r="K145" t="s">
        <v>25</v>
      </c>
      <c r="L145" s="9">
        <v>20</v>
      </c>
      <c r="N145" s="5" t="s">
        <v>28</v>
      </c>
      <c r="O145" t="s">
        <v>35</v>
      </c>
    </row>
    <row r="146" spans="1:16" ht="16" thickBot="1" x14ac:dyDescent="0.25">
      <c r="B146" t="s">
        <v>209</v>
      </c>
      <c r="C146" t="s">
        <v>210</v>
      </c>
      <c r="D146" t="s">
        <v>206</v>
      </c>
      <c r="E146" t="s">
        <v>22</v>
      </c>
      <c r="F146">
        <v>0</v>
      </c>
      <c r="G146">
        <v>-10000</v>
      </c>
      <c r="H146">
        <v>10000</v>
      </c>
      <c r="I146" t="s">
        <v>23</v>
      </c>
      <c r="J146">
        <v>7040</v>
      </c>
      <c r="K146" t="s">
        <v>25</v>
      </c>
      <c r="L146" s="9">
        <v>20</v>
      </c>
      <c r="N146" s="5" t="s">
        <v>28</v>
      </c>
      <c r="O146" t="s">
        <v>35</v>
      </c>
    </row>
    <row r="147" spans="1:16" ht="16" thickBot="1" x14ac:dyDescent="0.25">
      <c r="A147" s="1"/>
      <c r="B147" s="1" t="s">
        <v>211</v>
      </c>
      <c r="C147" s="1"/>
      <c r="D147" s="1"/>
      <c r="E147" s="1"/>
      <c r="F147" s="1"/>
      <c r="G147" s="1"/>
      <c r="H147" s="1"/>
      <c r="I147" s="1"/>
      <c r="J147" s="1"/>
      <c r="K147" s="1"/>
      <c r="L147" s="11"/>
      <c r="M147" s="6"/>
      <c r="N147" s="6"/>
      <c r="O147" s="1"/>
      <c r="P147" s="15"/>
    </row>
    <row r="148" spans="1:16" ht="16" x14ac:dyDescent="0.2">
      <c r="B148" t="s">
        <v>212</v>
      </c>
      <c r="C148" s="21" t="s">
        <v>213</v>
      </c>
      <c r="D148" t="s">
        <v>32</v>
      </c>
      <c r="E148" t="s">
        <v>22</v>
      </c>
      <c r="F148">
        <v>0</v>
      </c>
      <c r="G148">
        <v>0</v>
      </c>
      <c r="H148">
        <v>6</v>
      </c>
      <c r="I148" t="s">
        <v>64</v>
      </c>
      <c r="J148" s="9" t="s">
        <v>214</v>
      </c>
      <c r="K148" t="s">
        <v>25</v>
      </c>
      <c r="L148" s="9" t="s">
        <v>26</v>
      </c>
      <c r="M148" s="5" t="s">
        <v>42</v>
      </c>
      <c r="N148" s="5" t="s">
        <v>215</v>
      </c>
      <c r="O148" t="s">
        <v>43</v>
      </c>
      <c r="P148" s="16"/>
    </row>
    <row r="149" spans="1:16" x14ac:dyDescent="0.2">
      <c r="B149" t="s">
        <v>216</v>
      </c>
      <c r="C149" t="s">
        <v>217</v>
      </c>
      <c r="D149" t="s">
        <v>218</v>
      </c>
      <c r="E149" t="s">
        <v>22</v>
      </c>
      <c r="F149" t="s">
        <v>33</v>
      </c>
      <c r="G149">
        <v>0</v>
      </c>
      <c r="H149" t="s">
        <v>219</v>
      </c>
      <c r="I149" t="s">
        <v>23</v>
      </c>
      <c r="J149" s="9" t="s">
        <v>220</v>
      </c>
      <c r="K149" t="s">
        <v>25</v>
      </c>
      <c r="L149" s="9" t="s">
        <v>26</v>
      </c>
      <c r="M149" s="5" t="s">
        <v>42</v>
      </c>
      <c r="N149" s="5" t="s">
        <v>215</v>
      </c>
      <c r="O149" t="s">
        <v>43</v>
      </c>
      <c r="P149" s="16"/>
    </row>
    <row r="150" spans="1:16" x14ac:dyDescent="0.2">
      <c r="B150" t="s">
        <v>221</v>
      </c>
      <c r="C150" t="s">
        <v>222</v>
      </c>
      <c r="D150" t="s">
        <v>218</v>
      </c>
      <c r="E150" t="s">
        <v>22</v>
      </c>
      <c r="F150" t="s">
        <v>33</v>
      </c>
      <c r="G150">
        <v>0</v>
      </c>
      <c r="H150" t="s">
        <v>219</v>
      </c>
      <c r="I150" t="s">
        <v>23</v>
      </c>
      <c r="J150" s="9">
        <v>5002</v>
      </c>
      <c r="K150" t="s">
        <v>25</v>
      </c>
      <c r="L150" s="9" t="s">
        <v>26</v>
      </c>
      <c r="M150" s="5" t="s">
        <v>42</v>
      </c>
      <c r="N150" s="5" t="s">
        <v>215</v>
      </c>
      <c r="O150" t="s">
        <v>43</v>
      </c>
    </row>
    <row r="151" spans="1:16" x14ac:dyDescent="0.2">
      <c r="B151" t="s">
        <v>223</v>
      </c>
      <c r="C151" t="s">
        <v>224</v>
      </c>
      <c r="D151" t="s">
        <v>218</v>
      </c>
      <c r="E151" t="s">
        <v>22</v>
      </c>
      <c r="F151" t="s">
        <v>33</v>
      </c>
      <c r="G151">
        <v>0</v>
      </c>
      <c r="H151" t="s">
        <v>219</v>
      </c>
      <c r="I151" t="s">
        <v>23</v>
      </c>
      <c r="J151" s="9">
        <v>5003</v>
      </c>
      <c r="K151" t="s">
        <v>25</v>
      </c>
      <c r="L151" s="9" t="s">
        <v>26</v>
      </c>
      <c r="M151" s="5" t="s">
        <v>42</v>
      </c>
      <c r="N151" s="5" t="s">
        <v>215</v>
      </c>
      <c r="O151" t="s">
        <v>43</v>
      </c>
    </row>
    <row r="152" spans="1:16" ht="112" x14ac:dyDescent="0.2">
      <c r="B152" t="s">
        <v>225</v>
      </c>
      <c r="C152" s="2" t="s">
        <v>226</v>
      </c>
      <c r="D152" t="s">
        <v>32</v>
      </c>
      <c r="E152" t="s">
        <v>22</v>
      </c>
      <c r="F152" s="9" t="s">
        <v>33</v>
      </c>
      <c r="G152" s="9" t="s">
        <v>33</v>
      </c>
      <c r="H152" s="9">
        <v>4</v>
      </c>
      <c r="I152" t="s">
        <v>23</v>
      </c>
      <c r="J152" s="9">
        <v>5023</v>
      </c>
      <c r="K152" t="s">
        <v>25</v>
      </c>
      <c r="L152" s="9" t="s">
        <v>26</v>
      </c>
      <c r="M152" s="5" t="s">
        <v>42</v>
      </c>
      <c r="N152" s="5" t="s">
        <v>215</v>
      </c>
      <c r="O152" t="s">
        <v>43</v>
      </c>
    </row>
    <row r="153" spans="1:16" ht="16" x14ac:dyDescent="0.2">
      <c r="B153" t="s">
        <v>227</v>
      </c>
      <c r="C153" s="2" t="s">
        <v>228</v>
      </c>
      <c r="D153" t="s">
        <v>32</v>
      </c>
      <c r="E153" t="s">
        <v>22</v>
      </c>
      <c r="F153" s="9">
        <v>0</v>
      </c>
      <c r="G153" s="9">
        <v>0</v>
      </c>
      <c r="H153" s="9">
        <v>0</v>
      </c>
      <c r="I153" t="s">
        <v>23</v>
      </c>
      <c r="J153" s="9">
        <v>5024</v>
      </c>
      <c r="K153" t="s">
        <v>25</v>
      </c>
      <c r="L153" s="9">
        <v>1</v>
      </c>
      <c r="M153" s="5" t="s">
        <v>42</v>
      </c>
      <c r="O153" t="s">
        <v>43</v>
      </c>
    </row>
    <row r="154" spans="1:16" x14ac:dyDescent="0.2">
      <c r="B154" t="s">
        <v>229</v>
      </c>
      <c r="C154" t="s">
        <v>230</v>
      </c>
      <c r="D154" t="s">
        <v>231</v>
      </c>
      <c r="E154" t="s">
        <v>232</v>
      </c>
      <c r="F154">
        <v>0</v>
      </c>
      <c r="G154">
        <v>-6750</v>
      </c>
      <c r="H154">
        <v>6750</v>
      </c>
      <c r="I154" t="s">
        <v>64</v>
      </c>
      <c r="J154" s="9" t="s">
        <v>233</v>
      </c>
      <c r="K154" t="s">
        <v>25</v>
      </c>
      <c r="L154" s="9" t="s">
        <v>26</v>
      </c>
      <c r="M154" s="5" t="s">
        <v>42</v>
      </c>
      <c r="N154" s="5" t="s">
        <v>215</v>
      </c>
      <c r="O154" t="s">
        <v>43</v>
      </c>
      <c r="P154" s="16"/>
    </row>
    <row r="155" spans="1:16" x14ac:dyDescent="0.2">
      <c r="B155" t="s">
        <v>234</v>
      </c>
      <c r="C155" t="s">
        <v>235</v>
      </c>
      <c r="D155" t="s">
        <v>231</v>
      </c>
      <c r="E155" t="s">
        <v>232</v>
      </c>
      <c r="F155">
        <v>0</v>
      </c>
      <c r="G155">
        <v>-6750</v>
      </c>
      <c r="H155">
        <v>6750</v>
      </c>
      <c r="I155" t="s">
        <v>64</v>
      </c>
      <c r="J155" s="9" t="s">
        <v>236</v>
      </c>
      <c r="K155" t="s">
        <v>25</v>
      </c>
      <c r="L155" s="9" t="s">
        <v>26</v>
      </c>
      <c r="M155" s="5" t="s">
        <v>42</v>
      </c>
      <c r="N155" s="5" t="s">
        <v>215</v>
      </c>
      <c r="O155" t="s">
        <v>43</v>
      </c>
    </row>
    <row r="156" spans="1:16" x14ac:dyDescent="0.2">
      <c r="B156" t="s">
        <v>237</v>
      </c>
      <c r="C156" t="s">
        <v>238</v>
      </c>
      <c r="D156" t="s">
        <v>231</v>
      </c>
      <c r="E156" t="s">
        <v>232</v>
      </c>
      <c r="F156">
        <v>0</v>
      </c>
      <c r="G156">
        <v>-6750</v>
      </c>
      <c r="H156">
        <v>6750</v>
      </c>
      <c r="I156" t="s">
        <v>64</v>
      </c>
      <c r="J156" s="9" t="s">
        <v>239</v>
      </c>
      <c r="K156" t="s">
        <v>25</v>
      </c>
      <c r="L156" s="9" t="s">
        <v>26</v>
      </c>
      <c r="M156" s="5" t="s">
        <v>42</v>
      </c>
      <c r="N156" s="5" t="s">
        <v>215</v>
      </c>
      <c r="O156" t="s">
        <v>43</v>
      </c>
    </row>
    <row r="157" spans="1:16" x14ac:dyDescent="0.2">
      <c r="A157" s="35"/>
      <c r="B157" s="35" t="s">
        <v>240</v>
      </c>
      <c r="C157" s="35" t="s">
        <v>241</v>
      </c>
      <c r="D157" s="35" t="s">
        <v>242</v>
      </c>
      <c r="E157" s="35" t="s">
        <v>232</v>
      </c>
      <c r="F157" s="35">
        <v>0</v>
      </c>
      <c r="G157" s="35">
        <v>-6750</v>
      </c>
      <c r="H157" s="35">
        <v>6750</v>
      </c>
      <c r="I157" s="35" t="s">
        <v>64</v>
      </c>
      <c r="J157" s="35">
        <v>5143</v>
      </c>
      <c r="K157" s="35" t="s">
        <v>25</v>
      </c>
      <c r="L157" s="35" t="s">
        <v>26</v>
      </c>
      <c r="M157" s="35" t="s">
        <v>42</v>
      </c>
      <c r="N157" s="35" t="s">
        <v>215</v>
      </c>
      <c r="O157" s="35" t="s">
        <v>43</v>
      </c>
    </row>
    <row r="158" spans="1:16" x14ac:dyDescent="0.2">
      <c r="A158" s="35"/>
      <c r="B158" s="35" t="s">
        <v>243</v>
      </c>
      <c r="C158" s="35" t="s">
        <v>244</v>
      </c>
      <c r="D158" s="35" t="s">
        <v>242</v>
      </c>
      <c r="E158" s="35" t="s">
        <v>232</v>
      </c>
      <c r="F158" s="35">
        <v>0</v>
      </c>
      <c r="G158" s="35">
        <v>-6750</v>
      </c>
      <c r="H158" s="35">
        <v>6750</v>
      </c>
      <c r="I158" s="35" t="s">
        <v>64</v>
      </c>
      <c r="J158" s="35">
        <v>5144</v>
      </c>
      <c r="K158" s="35" t="s">
        <v>25</v>
      </c>
      <c r="L158" s="35" t="s">
        <v>26</v>
      </c>
      <c r="M158" s="35" t="s">
        <v>42</v>
      </c>
      <c r="N158" s="35" t="s">
        <v>215</v>
      </c>
      <c r="O158" s="35" t="s">
        <v>43</v>
      </c>
    </row>
    <row r="159" spans="1:16" x14ac:dyDescent="0.2">
      <c r="A159" s="35"/>
      <c r="B159" s="35" t="s">
        <v>245</v>
      </c>
      <c r="C159" s="35" t="s">
        <v>246</v>
      </c>
      <c r="D159" s="35" t="s">
        <v>242</v>
      </c>
      <c r="E159" s="35" t="s">
        <v>232</v>
      </c>
      <c r="F159" s="35">
        <v>0</v>
      </c>
      <c r="G159" s="35">
        <v>-6750</v>
      </c>
      <c r="H159" s="35">
        <v>6750</v>
      </c>
      <c r="I159" s="35" t="s">
        <v>64</v>
      </c>
      <c r="J159" s="35">
        <v>5145</v>
      </c>
      <c r="K159" s="35" t="s">
        <v>25</v>
      </c>
      <c r="L159" s="35" t="s">
        <v>26</v>
      </c>
      <c r="M159" s="35" t="s">
        <v>42</v>
      </c>
      <c r="N159" s="35" t="s">
        <v>215</v>
      </c>
      <c r="O159" s="35" t="s">
        <v>43</v>
      </c>
    </row>
    <row r="160" spans="1:16" x14ac:dyDescent="0.2">
      <c r="B160" t="s">
        <v>247</v>
      </c>
      <c r="C160" t="s">
        <v>248</v>
      </c>
      <c r="D160" t="s">
        <v>98</v>
      </c>
      <c r="E160" t="s">
        <v>232</v>
      </c>
      <c r="F160">
        <v>0</v>
      </c>
      <c r="G160" s="9" t="s">
        <v>33</v>
      </c>
      <c r="H160">
        <v>31000</v>
      </c>
      <c r="I160" t="s">
        <v>23</v>
      </c>
      <c r="J160" s="9" t="s">
        <v>249</v>
      </c>
      <c r="K160" t="s">
        <v>25</v>
      </c>
      <c r="L160" s="9" t="s">
        <v>26</v>
      </c>
      <c r="M160" s="5" t="s">
        <v>42</v>
      </c>
      <c r="N160" s="5" t="s">
        <v>215</v>
      </c>
      <c r="O160" t="s">
        <v>43</v>
      </c>
    </row>
    <row r="161" spans="1:16" x14ac:dyDescent="0.2">
      <c r="B161" t="s">
        <v>250</v>
      </c>
      <c r="C161" t="s">
        <v>251</v>
      </c>
      <c r="D161" t="s">
        <v>98</v>
      </c>
      <c r="E161" t="s">
        <v>232</v>
      </c>
      <c r="F161">
        <v>0</v>
      </c>
      <c r="G161" s="9" t="s">
        <v>33</v>
      </c>
      <c r="H161">
        <v>31000</v>
      </c>
      <c r="I161" t="s">
        <v>23</v>
      </c>
      <c r="J161" s="9" t="s">
        <v>252</v>
      </c>
      <c r="K161" t="s">
        <v>25</v>
      </c>
      <c r="L161" s="9" t="s">
        <v>26</v>
      </c>
      <c r="M161" s="5" t="s">
        <v>42</v>
      </c>
      <c r="N161" s="5" t="s">
        <v>215</v>
      </c>
      <c r="O161" t="s">
        <v>43</v>
      </c>
    </row>
    <row r="162" spans="1:16" ht="15.75" customHeight="1" x14ac:dyDescent="0.2">
      <c r="B162" t="s">
        <v>253</v>
      </c>
      <c r="C162" t="s">
        <v>254</v>
      </c>
      <c r="D162" t="s">
        <v>98</v>
      </c>
      <c r="E162" t="s">
        <v>232</v>
      </c>
      <c r="F162">
        <v>0</v>
      </c>
      <c r="G162" s="9" t="s">
        <v>33</v>
      </c>
      <c r="H162">
        <v>31000</v>
      </c>
      <c r="I162" t="s">
        <v>23</v>
      </c>
      <c r="J162" s="9" t="s">
        <v>255</v>
      </c>
      <c r="K162" t="s">
        <v>25</v>
      </c>
      <c r="L162" s="9" t="s">
        <v>26</v>
      </c>
      <c r="M162" s="5" t="s">
        <v>42</v>
      </c>
      <c r="N162" s="5" t="s">
        <v>215</v>
      </c>
      <c r="O162" t="s">
        <v>43</v>
      </c>
    </row>
    <row r="163" spans="1:16" x14ac:dyDescent="0.2">
      <c r="B163" t="s">
        <v>256</v>
      </c>
      <c r="C163" t="s">
        <v>257</v>
      </c>
      <c r="D163" t="s">
        <v>74</v>
      </c>
      <c r="E163" t="s">
        <v>232</v>
      </c>
      <c r="F163">
        <v>0</v>
      </c>
      <c r="G163" s="9" t="s">
        <v>32</v>
      </c>
      <c r="H163" s="9" t="s">
        <v>32</v>
      </c>
      <c r="I163" t="s">
        <v>64</v>
      </c>
      <c r="J163" s="9">
        <v>5500</v>
      </c>
      <c r="K163" t="s">
        <v>25</v>
      </c>
      <c r="L163" s="9">
        <v>1</v>
      </c>
      <c r="M163" s="5" t="s">
        <v>42</v>
      </c>
      <c r="O163" s="5" t="s">
        <v>43</v>
      </c>
    </row>
    <row r="164" spans="1:16" x14ac:dyDescent="0.2">
      <c r="B164" t="s">
        <v>258</v>
      </c>
      <c r="C164" t="s">
        <v>259</v>
      </c>
      <c r="D164" t="s">
        <v>74</v>
      </c>
      <c r="E164" t="s">
        <v>232</v>
      </c>
      <c r="F164">
        <v>0</v>
      </c>
      <c r="G164" s="9" t="s">
        <v>32</v>
      </c>
      <c r="H164" s="9" t="s">
        <v>32</v>
      </c>
      <c r="I164" t="s">
        <v>64</v>
      </c>
      <c r="J164" s="9">
        <v>5501</v>
      </c>
      <c r="K164" t="s">
        <v>25</v>
      </c>
      <c r="L164" s="9">
        <v>1</v>
      </c>
      <c r="M164" s="5" t="s">
        <v>42</v>
      </c>
      <c r="O164" s="5" t="s">
        <v>43</v>
      </c>
    </row>
    <row r="165" spans="1:16" ht="16" thickBot="1" x14ac:dyDescent="0.25">
      <c r="B165" t="s">
        <v>260</v>
      </c>
      <c r="C165" t="s">
        <v>261</v>
      </c>
      <c r="D165" t="s">
        <v>32</v>
      </c>
      <c r="E165" t="s">
        <v>22</v>
      </c>
      <c r="F165">
        <v>0</v>
      </c>
      <c r="G165">
        <v>0</v>
      </c>
      <c r="H165">
        <v>1</v>
      </c>
      <c r="I165" t="s">
        <v>23</v>
      </c>
      <c r="J165" s="9">
        <v>5600</v>
      </c>
      <c r="K165" t="s">
        <v>25</v>
      </c>
      <c r="L165" s="9">
        <v>1</v>
      </c>
      <c r="M165" s="5" t="s">
        <v>42</v>
      </c>
      <c r="O165" s="5" t="s">
        <v>43</v>
      </c>
    </row>
    <row r="166" spans="1:16" ht="16" thickBot="1" x14ac:dyDescent="0.25">
      <c r="A166" s="1"/>
      <c r="B166" s="1" t="s">
        <v>262</v>
      </c>
      <c r="C166" s="1"/>
      <c r="D166" s="1"/>
      <c r="E166" s="1"/>
      <c r="F166" s="1"/>
      <c r="G166" s="1"/>
      <c r="H166" s="1"/>
      <c r="I166" s="1"/>
      <c r="J166" s="1"/>
      <c r="K166" s="1"/>
      <c r="L166" s="11"/>
      <c r="M166" s="6"/>
      <c r="N166" s="6"/>
      <c r="O166" s="1"/>
      <c r="P166" s="15"/>
    </row>
    <row r="167" spans="1:16" x14ac:dyDescent="0.2">
      <c r="B167" t="s">
        <v>263</v>
      </c>
      <c r="C167" t="s">
        <v>264</v>
      </c>
      <c r="D167" t="s">
        <v>265</v>
      </c>
      <c r="E167" t="s">
        <v>215</v>
      </c>
      <c r="F167" t="s">
        <v>215</v>
      </c>
      <c r="G167" t="s">
        <v>33</v>
      </c>
      <c r="H167">
        <v>19</v>
      </c>
      <c r="I167" t="s">
        <v>23</v>
      </c>
      <c r="J167" s="9" t="s">
        <v>266</v>
      </c>
      <c r="K167" t="s">
        <v>25</v>
      </c>
      <c r="L167" s="9" t="s">
        <v>26</v>
      </c>
      <c r="M167" s="5" t="s">
        <v>42</v>
      </c>
      <c r="N167" s="5" t="s">
        <v>215</v>
      </c>
      <c r="O167" t="s">
        <v>215</v>
      </c>
    </row>
    <row r="168" spans="1:16" x14ac:dyDescent="0.2">
      <c r="B168" s="4" t="s">
        <v>267</v>
      </c>
      <c r="C168" t="s">
        <v>268</v>
      </c>
      <c r="I168" s="4" t="s">
        <v>23</v>
      </c>
      <c r="J168" s="10" t="s">
        <v>269</v>
      </c>
      <c r="K168" s="4" t="s">
        <v>25</v>
      </c>
      <c r="L168" s="10" t="s">
        <v>26</v>
      </c>
      <c r="M168" s="8" t="s">
        <v>42</v>
      </c>
      <c r="N168" s="8" t="s">
        <v>215</v>
      </c>
      <c r="O168" s="4" t="s">
        <v>43</v>
      </c>
    </row>
    <row r="169" spans="1:16" outlineLevel="1" x14ac:dyDescent="0.2">
      <c r="B169" t="s">
        <v>270</v>
      </c>
      <c r="D169" t="s">
        <v>215</v>
      </c>
      <c r="E169" t="s">
        <v>215</v>
      </c>
      <c r="F169" t="s">
        <v>215</v>
      </c>
      <c r="G169" t="s">
        <v>215</v>
      </c>
      <c r="H169" t="s">
        <v>215</v>
      </c>
      <c r="I169" t="s">
        <v>23</v>
      </c>
      <c r="J169" s="9" t="s">
        <v>269</v>
      </c>
      <c r="K169" t="s">
        <v>25</v>
      </c>
      <c r="L169" s="9" t="s">
        <v>26</v>
      </c>
      <c r="M169" s="5" t="s">
        <v>42</v>
      </c>
      <c r="N169" s="5" t="s">
        <v>215</v>
      </c>
      <c r="O169" t="s">
        <v>43</v>
      </c>
    </row>
    <row r="170" spans="1:16" outlineLevel="1" x14ac:dyDescent="0.2">
      <c r="B170" t="s">
        <v>271</v>
      </c>
      <c r="C170" t="s">
        <v>215</v>
      </c>
      <c r="E170" t="s">
        <v>215</v>
      </c>
      <c r="F170" t="s">
        <v>215</v>
      </c>
      <c r="G170" t="s">
        <v>215</v>
      </c>
      <c r="H170" t="s">
        <v>215</v>
      </c>
      <c r="I170" t="s">
        <v>23</v>
      </c>
      <c r="J170" s="9" t="s">
        <v>272</v>
      </c>
      <c r="K170" t="s">
        <v>25</v>
      </c>
      <c r="L170" s="9" t="s">
        <v>26</v>
      </c>
      <c r="M170" s="5" t="s">
        <v>42</v>
      </c>
      <c r="N170" s="5" t="s">
        <v>215</v>
      </c>
      <c r="O170" t="s">
        <v>43</v>
      </c>
    </row>
    <row r="171" spans="1:16" outlineLevel="1" x14ac:dyDescent="0.2">
      <c r="B171" t="s">
        <v>273</v>
      </c>
      <c r="C171" t="s">
        <v>215</v>
      </c>
      <c r="D171" t="s">
        <v>215</v>
      </c>
      <c r="E171" t="s">
        <v>215</v>
      </c>
      <c r="F171" t="s">
        <v>215</v>
      </c>
      <c r="G171" t="s">
        <v>215</v>
      </c>
      <c r="H171" t="s">
        <v>215</v>
      </c>
      <c r="I171" t="s">
        <v>23</v>
      </c>
      <c r="J171" s="9" t="s">
        <v>274</v>
      </c>
      <c r="K171" t="s">
        <v>25</v>
      </c>
      <c r="L171" s="9" t="s">
        <v>26</v>
      </c>
      <c r="M171" s="5" t="s">
        <v>42</v>
      </c>
      <c r="N171" s="5" t="s">
        <v>215</v>
      </c>
      <c r="O171" t="s">
        <v>43</v>
      </c>
    </row>
    <row r="172" spans="1:16" outlineLevel="1" x14ac:dyDescent="0.2">
      <c r="B172" t="s">
        <v>275</v>
      </c>
      <c r="C172" t="s">
        <v>215</v>
      </c>
      <c r="D172" t="s">
        <v>215</v>
      </c>
      <c r="E172" t="s">
        <v>215</v>
      </c>
      <c r="F172" t="s">
        <v>215</v>
      </c>
      <c r="G172" t="s">
        <v>215</v>
      </c>
      <c r="H172" t="s">
        <v>215</v>
      </c>
      <c r="I172" t="s">
        <v>23</v>
      </c>
      <c r="J172" s="9" t="s">
        <v>276</v>
      </c>
      <c r="K172" t="s">
        <v>25</v>
      </c>
      <c r="L172" s="9" t="s">
        <v>26</v>
      </c>
      <c r="M172" s="5" t="s">
        <v>42</v>
      </c>
      <c r="N172" s="5" t="s">
        <v>215</v>
      </c>
      <c r="O172" t="s">
        <v>43</v>
      </c>
    </row>
    <row r="173" spans="1:16" outlineLevel="1" x14ac:dyDescent="0.2">
      <c r="B173" t="s">
        <v>277</v>
      </c>
      <c r="C173" t="s">
        <v>215</v>
      </c>
      <c r="D173" t="s">
        <v>215</v>
      </c>
      <c r="E173" t="s">
        <v>215</v>
      </c>
      <c r="F173" t="s">
        <v>215</v>
      </c>
      <c r="G173" t="s">
        <v>215</v>
      </c>
      <c r="H173" t="s">
        <v>215</v>
      </c>
      <c r="I173" t="s">
        <v>23</v>
      </c>
      <c r="J173" s="9" t="s">
        <v>278</v>
      </c>
      <c r="K173" t="s">
        <v>25</v>
      </c>
      <c r="L173" s="9" t="s">
        <v>26</v>
      </c>
      <c r="M173" s="5" t="s">
        <v>42</v>
      </c>
      <c r="N173" s="5" t="s">
        <v>215</v>
      </c>
      <c r="O173" t="s">
        <v>43</v>
      </c>
    </row>
    <row r="174" spans="1:16" outlineLevel="1" x14ac:dyDescent="0.2">
      <c r="B174" t="s">
        <v>279</v>
      </c>
      <c r="C174" t="s">
        <v>215</v>
      </c>
      <c r="D174" t="s">
        <v>215</v>
      </c>
      <c r="E174" t="s">
        <v>215</v>
      </c>
      <c r="F174" t="s">
        <v>215</v>
      </c>
      <c r="G174" t="s">
        <v>215</v>
      </c>
      <c r="H174" t="s">
        <v>215</v>
      </c>
      <c r="I174" t="s">
        <v>23</v>
      </c>
      <c r="J174" s="9" t="s">
        <v>280</v>
      </c>
      <c r="K174" t="s">
        <v>25</v>
      </c>
      <c r="L174" s="9" t="s">
        <v>26</v>
      </c>
      <c r="M174" s="5" t="s">
        <v>42</v>
      </c>
      <c r="N174" s="5" t="s">
        <v>215</v>
      </c>
      <c r="O174" t="s">
        <v>43</v>
      </c>
    </row>
    <row r="175" spans="1:16" outlineLevel="1" x14ac:dyDescent="0.2">
      <c r="B175" t="s">
        <v>281</v>
      </c>
      <c r="C175" t="s">
        <v>215</v>
      </c>
      <c r="D175" t="s">
        <v>215</v>
      </c>
      <c r="E175" t="s">
        <v>215</v>
      </c>
      <c r="F175" t="s">
        <v>215</v>
      </c>
      <c r="G175" t="s">
        <v>215</v>
      </c>
      <c r="H175" t="s">
        <v>215</v>
      </c>
      <c r="I175" t="s">
        <v>23</v>
      </c>
      <c r="J175" s="9" t="s">
        <v>282</v>
      </c>
      <c r="K175" t="s">
        <v>25</v>
      </c>
      <c r="L175" s="9" t="s">
        <v>26</v>
      </c>
      <c r="M175" s="5" t="s">
        <v>42</v>
      </c>
      <c r="N175" s="5" t="s">
        <v>215</v>
      </c>
      <c r="O175" t="s">
        <v>43</v>
      </c>
    </row>
    <row r="176" spans="1:16" outlineLevel="1" x14ac:dyDescent="0.2">
      <c r="B176" t="s">
        <v>283</v>
      </c>
      <c r="C176" t="s">
        <v>215</v>
      </c>
      <c r="D176" t="s">
        <v>215</v>
      </c>
      <c r="E176" t="s">
        <v>215</v>
      </c>
      <c r="F176" t="s">
        <v>215</v>
      </c>
      <c r="G176" t="s">
        <v>215</v>
      </c>
      <c r="H176" t="s">
        <v>215</v>
      </c>
      <c r="I176" t="s">
        <v>23</v>
      </c>
      <c r="J176" s="9" t="s">
        <v>284</v>
      </c>
      <c r="K176" t="s">
        <v>25</v>
      </c>
      <c r="L176" s="9" t="s">
        <v>26</v>
      </c>
      <c r="M176" s="5" t="s">
        <v>42</v>
      </c>
      <c r="N176" s="5" t="s">
        <v>215</v>
      </c>
      <c r="O176" t="s">
        <v>43</v>
      </c>
    </row>
    <row r="177" spans="2:15" outlineLevel="1" x14ac:dyDescent="0.2">
      <c r="B177" t="s">
        <v>285</v>
      </c>
      <c r="C177" t="s">
        <v>215</v>
      </c>
      <c r="D177" t="s">
        <v>215</v>
      </c>
      <c r="E177" t="s">
        <v>215</v>
      </c>
      <c r="F177" t="s">
        <v>215</v>
      </c>
      <c r="G177" t="s">
        <v>215</v>
      </c>
      <c r="H177" t="s">
        <v>215</v>
      </c>
      <c r="I177" t="s">
        <v>23</v>
      </c>
      <c r="J177" s="9" t="s">
        <v>286</v>
      </c>
      <c r="K177" t="s">
        <v>25</v>
      </c>
      <c r="L177" s="9" t="s">
        <v>26</v>
      </c>
      <c r="M177" s="5" t="s">
        <v>42</v>
      </c>
      <c r="N177" s="5" t="s">
        <v>215</v>
      </c>
      <c r="O177" t="s">
        <v>43</v>
      </c>
    </row>
    <row r="178" spans="2:15" outlineLevel="1" x14ac:dyDescent="0.2">
      <c r="B178" t="s">
        <v>287</v>
      </c>
      <c r="C178" t="s">
        <v>215</v>
      </c>
      <c r="D178" t="s">
        <v>215</v>
      </c>
      <c r="E178" t="s">
        <v>215</v>
      </c>
      <c r="F178" t="s">
        <v>215</v>
      </c>
      <c r="G178" t="s">
        <v>215</v>
      </c>
      <c r="H178" t="s">
        <v>215</v>
      </c>
      <c r="I178" t="s">
        <v>23</v>
      </c>
      <c r="J178" s="9" t="s">
        <v>288</v>
      </c>
      <c r="K178" t="s">
        <v>25</v>
      </c>
      <c r="L178" s="9" t="s">
        <v>26</v>
      </c>
      <c r="M178" s="5" t="s">
        <v>42</v>
      </c>
      <c r="N178" s="5" t="s">
        <v>215</v>
      </c>
      <c r="O178" t="s">
        <v>43</v>
      </c>
    </row>
    <row r="179" spans="2:15" outlineLevel="1" x14ac:dyDescent="0.2">
      <c r="B179" t="s">
        <v>289</v>
      </c>
      <c r="C179" t="s">
        <v>215</v>
      </c>
      <c r="D179" t="s">
        <v>215</v>
      </c>
      <c r="E179" t="s">
        <v>215</v>
      </c>
      <c r="F179" t="s">
        <v>215</v>
      </c>
      <c r="G179" t="s">
        <v>215</v>
      </c>
      <c r="H179" t="s">
        <v>215</v>
      </c>
      <c r="I179" t="s">
        <v>23</v>
      </c>
      <c r="J179" s="9" t="s">
        <v>290</v>
      </c>
      <c r="K179" t="s">
        <v>25</v>
      </c>
      <c r="L179" s="9" t="s">
        <v>26</v>
      </c>
      <c r="M179" s="5" t="s">
        <v>42</v>
      </c>
      <c r="N179" s="5" t="s">
        <v>215</v>
      </c>
      <c r="O179" t="s">
        <v>43</v>
      </c>
    </row>
    <row r="180" spans="2:15" outlineLevel="1" x14ac:dyDescent="0.2">
      <c r="B180" t="s">
        <v>291</v>
      </c>
      <c r="C180" t="s">
        <v>215</v>
      </c>
      <c r="D180" t="s">
        <v>215</v>
      </c>
      <c r="E180" t="s">
        <v>215</v>
      </c>
      <c r="F180" t="s">
        <v>215</v>
      </c>
      <c r="G180" t="s">
        <v>215</v>
      </c>
      <c r="H180" t="s">
        <v>215</v>
      </c>
      <c r="I180" t="s">
        <v>23</v>
      </c>
      <c r="J180" s="9" t="s">
        <v>292</v>
      </c>
      <c r="K180" t="s">
        <v>25</v>
      </c>
      <c r="L180" s="9" t="s">
        <v>26</v>
      </c>
      <c r="M180" s="5" t="s">
        <v>42</v>
      </c>
      <c r="N180" s="5" t="s">
        <v>215</v>
      </c>
      <c r="O180" t="s">
        <v>43</v>
      </c>
    </row>
    <row r="181" spans="2:15" outlineLevel="1" x14ac:dyDescent="0.2">
      <c r="B181" t="s">
        <v>293</v>
      </c>
      <c r="C181" t="s">
        <v>215</v>
      </c>
      <c r="D181" t="s">
        <v>215</v>
      </c>
      <c r="E181" t="s">
        <v>215</v>
      </c>
      <c r="F181" t="s">
        <v>215</v>
      </c>
      <c r="G181" t="s">
        <v>215</v>
      </c>
      <c r="H181" t="s">
        <v>215</v>
      </c>
      <c r="I181" t="s">
        <v>23</v>
      </c>
      <c r="J181" s="9" t="s">
        <v>294</v>
      </c>
      <c r="K181" t="s">
        <v>25</v>
      </c>
      <c r="L181" s="9" t="s">
        <v>26</v>
      </c>
      <c r="M181" s="5" t="s">
        <v>42</v>
      </c>
      <c r="N181" s="5" t="s">
        <v>215</v>
      </c>
      <c r="O181" t="s">
        <v>43</v>
      </c>
    </row>
    <row r="182" spans="2:15" outlineLevel="1" x14ac:dyDescent="0.2">
      <c r="B182" t="s">
        <v>295</v>
      </c>
      <c r="C182" t="s">
        <v>215</v>
      </c>
      <c r="D182" t="s">
        <v>215</v>
      </c>
      <c r="E182" t="s">
        <v>215</v>
      </c>
      <c r="F182" t="s">
        <v>215</v>
      </c>
      <c r="G182" t="s">
        <v>215</v>
      </c>
      <c r="H182" t="s">
        <v>215</v>
      </c>
      <c r="I182" t="s">
        <v>23</v>
      </c>
      <c r="J182" s="9" t="s">
        <v>296</v>
      </c>
      <c r="K182" t="s">
        <v>25</v>
      </c>
      <c r="L182" s="9" t="s">
        <v>26</v>
      </c>
      <c r="M182" s="5" t="s">
        <v>42</v>
      </c>
      <c r="N182" s="5" t="s">
        <v>215</v>
      </c>
      <c r="O182" t="s">
        <v>43</v>
      </c>
    </row>
    <row r="183" spans="2:15" outlineLevel="1" x14ac:dyDescent="0.2">
      <c r="B183" t="s">
        <v>297</v>
      </c>
      <c r="C183" t="s">
        <v>215</v>
      </c>
      <c r="D183" t="s">
        <v>215</v>
      </c>
      <c r="E183" t="s">
        <v>215</v>
      </c>
      <c r="F183" t="s">
        <v>215</v>
      </c>
      <c r="G183" t="s">
        <v>215</v>
      </c>
      <c r="H183" t="s">
        <v>215</v>
      </c>
      <c r="I183" t="s">
        <v>23</v>
      </c>
      <c r="J183" s="9" t="s">
        <v>298</v>
      </c>
      <c r="K183" t="s">
        <v>25</v>
      </c>
      <c r="L183" s="9" t="s">
        <v>26</v>
      </c>
      <c r="M183" s="5" t="s">
        <v>42</v>
      </c>
      <c r="N183" s="5" t="s">
        <v>215</v>
      </c>
      <c r="O183" t="s">
        <v>43</v>
      </c>
    </row>
    <row r="184" spans="2:15" outlineLevel="1" x14ac:dyDescent="0.2">
      <c r="B184" t="s">
        <v>299</v>
      </c>
      <c r="C184" t="s">
        <v>215</v>
      </c>
      <c r="D184" t="s">
        <v>215</v>
      </c>
      <c r="E184" t="s">
        <v>215</v>
      </c>
      <c r="F184" t="s">
        <v>215</v>
      </c>
      <c r="G184" t="s">
        <v>215</v>
      </c>
      <c r="H184" t="s">
        <v>215</v>
      </c>
      <c r="I184" t="s">
        <v>23</v>
      </c>
      <c r="J184" s="9" t="s">
        <v>300</v>
      </c>
      <c r="K184" t="s">
        <v>25</v>
      </c>
      <c r="L184" s="9" t="s">
        <v>26</v>
      </c>
      <c r="M184" s="5" t="s">
        <v>42</v>
      </c>
      <c r="N184" s="5" t="s">
        <v>215</v>
      </c>
      <c r="O184" t="s">
        <v>43</v>
      </c>
    </row>
    <row r="185" spans="2:15" outlineLevel="1" x14ac:dyDescent="0.2">
      <c r="B185" t="s">
        <v>301</v>
      </c>
      <c r="C185" t="s">
        <v>215</v>
      </c>
      <c r="D185" t="s">
        <v>215</v>
      </c>
      <c r="E185" t="s">
        <v>215</v>
      </c>
      <c r="F185" t="s">
        <v>215</v>
      </c>
      <c r="G185" t="s">
        <v>215</v>
      </c>
      <c r="H185" t="s">
        <v>215</v>
      </c>
      <c r="I185" t="s">
        <v>23</v>
      </c>
      <c r="J185" s="9" t="s">
        <v>302</v>
      </c>
      <c r="K185" t="s">
        <v>25</v>
      </c>
      <c r="L185" s="9" t="s">
        <v>26</v>
      </c>
      <c r="M185" s="5" t="s">
        <v>42</v>
      </c>
      <c r="N185" s="5" t="s">
        <v>215</v>
      </c>
      <c r="O185" t="s">
        <v>43</v>
      </c>
    </row>
    <row r="186" spans="2:15" outlineLevel="1" x14ac:dyDescent="0.2">
      <c r="B186" t="s">
        <v>303</v>
      </c>
      <c r="C186" t="s">
        <v>215</v>
      </c>
      <c r="D186" t="s">
        <v>215</v>
      </c>
      <c r="E186" t="s">
        <v>215</v>
      </c>
      <c r="F186" t="s">
        <v>215</v>
      </c>
      <c r="G186" t="s">
        <v>215</v>
      </c>
      <c r="H186" t="s">
        <v>215</v>
      </c>
      <c r="I186" t="s">
        <v>23</v>
      </c>
      <c r="J186" s="9" t="s">
        <v>304</v>
      </c>
      <c r="K186" t="s">
        <v>25</v>
      </c>
      <c r="L186" s="9" t="s">
        <v>26</v>
      </c>
      <c r="M186" s="5" t="s">
        <v>42</v>
      </c>
      <c r="N186" s="5" t="s">
        <v>215</v>
      </c>
      <c r="O186" t="s">
        <v>43</v>
      </c>
    </row>
    <row r="187" spans="2:15" outlineLevel="1" x14ac:dyDescent="0.2">
      <c r="B187" t="s">
        <v>305</v>
      </c>
      <c r="C187" t="s">
        <v>215</v>
      </c>
      <c r="D187" t="s">
        <v>215</v>
      </c>
      <c r="E187" t="s">
        <v>215</v>
      </c>
      <c r="F187" t="s">
        <v>215</v>
      </c>
      <c r="G187" t="s">
        <v>215</v>
      </c>
      <c r="H187" t="s">
        <v>215</v>
      </c>
      <c r="I187" t="s">
        <v>23</v>
      </c>
      <c r="J187" s="9" t="s">
        <v>306</v>
      </c>
      <c r="K187" t="s">
        <v>25</v>
      </c>
      <c r="L187" s="9" t="s">
        <v>26</v>
      </c>
      <c r="M187" s="5" t="s">
        <v>42</v>
      </c>
      <c r="N187" s="5" t="s">
        <v>215</v>
      </c>
      <c r="O187" t="s">
        <v>43</v>
      </c>
    </row>
    <row r="188" spans="2:15" outlineLevel="1" x14ac:dyDescent="0.2">
      <c r="B188" t="s">
        <v>307</v>
      </c>
      <c r="C188" t="s">
        <v>215</v>
      </c>
      <c r="D188" t="s">
        <v>215</v>
      </c>
      <c r="E188" t="s">
        <v>215</v>
      </c>
      <c r="F188" t="s">
        <v>215</v>
      </c>
      <c r="G188" t="s">
        <v>215</v>
      </c>
      <c r="H188" t="s">
        <v>215</v>
      </c>
      <c r="I188" t="s">
        <v>23</v>
      </c>
      <c r="J188" s="9" t="s">
        <v>308</v>
      </c>
      <c r="K188" t="s">
        <v>25</v>
      </c>
      <c r="L188" s="9" t="s">
        <v>26</v>
      </c>
      <c r="M188" s="5" t="s">
        <v>42</v>
      </c>
      <c r="N188" s="5" t="s">
        <v>215</v>
      </c>
      <c r="O188" t="s">
        <v>43</v>
      </c>
    </row>
    <row r="189" spans="2:15" x14ac:dyDescent="0.2">
      <c r="B189" t="s">
        <v>309</v>
      </c>
      <c r="C189" t="s">
        <v>310</v>
      </c>
      <c r="D189" t="s">
        <v>265</v>
      </c>
      <c r="E189" t="s">
        <v>215</v>
      </c>
      <c r="F189" t="s">
        <v>215</v>
      </c>
      <c r="G189" t="s">
        <v>33</v>
      </c>
      <c r="H189">
        <v>19</v>
      </c>
      <c r="I189" t="s">
        <v>23</v>
      </c>
      <c r="J189" s="9">
        <v>2808</v>
      </c>
      <c r="K189" t="s">
        <v>25</v>
      </c>
      <c r="L189" s="9" t="s">
        <v>26</v>
      </c>
      <c r="M189" s="5" t="s">
        <v>42</v>
      </c>
      <c r="N189" s="5" t="s">
        <v>215</v>
      </c>
      <c r="O189" t="s">
        <v>43</v>
      </c>
    </row>
    <row r="190" spans="2:15" x14ac:dyDescent="0.2">
      <c r="B190" s="4" t="s">
        <v>311</v>
      </c>
      <c r="C190" t="s">
        <v>312</v>
      </c>
      <c r="I190" s="4" t="s">
        <v>23</v>
      </c>
      <c r="J190" s="10" t="s">
        <v>313</v>
      </c>
      <c r="K190" s="4" t="s">
        <v>25</v>
      </c>
      <c r="L190" s="10" t="s">
        <v>26</v>
      </c>
      <c r="M190" s="8" t="s">
        <v>42</v>
      </c>
      <c r="N190" s="8" t="s">
        <v>215</v>
      </c>
      <c r="O190" s="4" t="s">
        <v>43</v>
      </c>
    </row>
    <row r="191" spans="2:15" outlineLevel="1" x14ac:dyDescent="0.2">
      <c r="B191" t="s">
        <v>314</v>
      </c>
      <c r="D191" t="s">
        <v>215</v>
      </c>
      <c r="E191" t="s">
        <v>215</v>
      </c>
      <c r="F191" t="s">
        <v>215</v>
      </c>
      <c r="G191" t="s">
        <v>215</v>
      </c>
      <c r="H191" t="s">
        <v>215</v>
      </c>
      <c r="I191" t="s">
        <v>23</v>
      </c>
      <c r="J191" t="s">
        <v>313</v>
      </c>
      <c r="K191" t="s">
        <v>25</v>
      </c>
      <c r="L191" t="s">
        <v>26</v>
      </c>
      <c r="M191" s="5" t="s">
        <v>42</v>
      </c>
      <c r="N191" s="5" t="s">
        <v>215</v>
      </c>
      <c r="O191" t="s">
        <v>43</v>
      </c>
    </row>
    <row r="192" spans="2:15" outlineLevel="1" x14ac:dyDescent="0.2">
      <c r="B192" t="s">
        <v>315</v>
      </c>
      <c r="C192" t="s">
        <v>215</v>
      </c>
      <c r="D192" t="s">
        <v>215</v>
      </c>
      <c r="E192" t="s">
        <v>215</v>
      </c>
      <c r="F192" t="s">
        <v>215</v>
      </c>
      <c r="G192" t="s">
        <v>215</v>
      </c>
      <c r="H192" t="s">
        <v>215</v>
      </c>
      <c r="I192" t="s">
        <v>23</v>
      </c>
      <c r="J192" t="s">
        <v>316</v>
      </c>
      <c r="K192" t="s">
        <v>25</v>
      </c>
      <c r="L192" t="s">
        <v>26</v>
      </c>
      <c r="M192" s="5" t="s">
        <v>42</v>
      </c>
      <c r="N192" s="5" t="s">
        <v>215</v>
      </c>
      <c r="O192" t="s">
        <v>43</v>
      </c>
    </row>
    <row r="193" spans="2:15" outlineLevel="1" x14ac:dyDescent="0.2">
      <c r="B193" t="s">
        <v>317</v>
      </c>
      <c r="C193" t="s">
        <v>215</v>
      </c>
      <c r="D193" t="s">
        <v>215</v>
      </c>
      <c r="E193" t="s">
        <v>215</v>
      </c>
      <c r="F193" t="s">
        <v>215</v>
      </c>
      <c r="G193" t="s">
        <v>215</v>
      </c>
      <c r="H193" t="s">
        <v>215</v>
      </c>
      <c r="I193" t="s">
        <v>23</v>
      </c>
      <c r="J193" t="s">
        <v>318</v>
      </c>
      <c r="K193" t="s">
        <v>25</v>
      </c>
      <c r="L193" t="s">
        <v>26</v>
      </c>
      <c r="M193" s="5" t="s">
        <v>42</v>
      </c>
      <c r="N193" s="5" t="s">
        <v>215</v>
      </c>
      <c r="O193" t="s">
        <v>43</v>
      </c>
    </row>
    <row r="194" spans="2:15" outlineLevel="1" x14ac:dyDescent="0.2">
      <c r="B194" t="s">
        <v>319</v>
      </c>
      <c r="C194" t="s">
        <v>215</v>
      </c>
      <c r="D194" t="s">
        <v>215</v>
      </c>
      <c r="E194" t="s">
        <v>215</v>
      </c>
      <c r="F194" t="s">
        <v>215</v>
      </c>
      <c r="G194" t="s">
        <v>215</v>
      </c>
      <c r="H194" t="s">
        <v>215</v>
      </c>
      <c r="I194" t="s">
        <v>23</v>
      </c>
      <c r="J194" t="s">
        <v>320</v>
      </c>
      <c r="K194" t="s">
        <v>25</v>
      </c>
      <c r="L194" t="s">
        <v>26</v>
      </c>
      <c r="M194" s="5" t="s">
        <v>42</v>
      </c>
      <c r="N194" s="5" t="s">
        <v>215</v>
      </c>
      <c r="O194" t="s">
        <v>43</v>
      </c>
    </row>
    <row r="195" spans="2:15" outlineLevel="1" x14ac:dyDescent="0.2">
      <c r="B195" t="s">
        <v>321</v>
      </c>
      <c r="C195" t="s">
        <v>215</v>
      </c>
      <c r="D195" t="s">
        <v>215</v>
      </c>
      <c r="E195" t="s">
        <v>215</v>
      </c>
      <c r="F195" t="s">
        <v>215</v>
      </c>
      <c r="G195" t="s">
        <v>215</v>
      </c>
      <c r="H195" t="s">
        <v>215</v>
      </c>
      <c r="I195" t="s">
        <v>23</v>
      </c>
      <c r="J195" t="s">
        <v>322</v>
      </c>
      <c r="K195" t="s">
        <v>25</v>
      </c>
      <c r="L195" t="s">
        <v>26</v>
      </c>
      <c r="M195" s="5" t="s">
        <v>42</v>
      </c>
      <c r="N195" s="5" t="s">
        <v>215</v>
      </c>
      <c r="O195" t="s">
        <v>43</v>
      </c>
    </row>
    <row r="196" spans="2:15" outlineLevel="1" x14ac:dyDescent="0.2">
      <c r="B196" t="s">
        <v>323</v>
      </c>
      <c r="C196" t="s">
        <v>215</v>
      </c>
      <c r="D196" t="s">
        <v>215</v>
      </c>
      <c r="E196" t="s">
        <v>215</v>
      </c>
      <c r="F196" t="s">
        <v>215</v>
      </c>
      <c r="G196" t="s">
        <v>215</v>
      </c>
      <c r="H196" t="s">
        <v>215</v>
      </c>
      <c r="I196" t="s">
        <v>23</v>
      </c>
      <c r="J196" t="s">
        <v>324</v>
      </c>
      <c r="K196" t="s">
        <v>25</v>
      </c>
      <c r="L196" t="s">
        <v>26</v>
      </c>
      <c r="M196" s="5" t="s">
        <v>42</v>
      </c>
      <c r="N196" s="5" t="s">
        <v>215</v>
      </c>
      <c r="O196" t="s">
        <v>43</v>
      </c>
    </row>
    <row r="197" spans="2:15" outlineLevel="1" x14ac:dyDescent="0.2">
      <c r="B197" t="s">
        <v>325</v>
      </c>
      <c r="C197" t="s">
        <v>215</v>
      </c>
      <c r="D197" t="s">
        <v>215</v>
      </c>
      <c r="E197" t="s">
        <v>215</v>
      </c>
      <c r="F197" t="s">
        <v>215</v>
      </c>
      <c r="G197" t="s">
        <v>215</v>
      </c>
      <c r="H197" t="s">
        <v>215</v>
      </c>
      <c r="I197" t="s">
        <v>23</v>
      </c>
      <c r="J197" t="s">
        <v>326</v>
      </c>
      <c r="K197" t="s">
        <v>25</v>
      </c>
      <c r="L197" t="s">
        <v>26</v>
      </c>
      <c r="M197" s="5" t="s">
        <v>42</v>
      </c>
      <c r="N197" s="5" t="s">
        <v>215</v>
      </c>
      <c r="O197" t="s">
        <v>43</v>
      </c>
    </row>
    <row r="198" spans="2:15" outlineLevel="1" x14ac:dyDescent="0.2">
      <c r="B198" t="s">
        <v>327</v>
      </c>
      <c r="C198" t="s">
        <v>215</v>
      </c>
      <c r="D198" t="s">
        <v>215</v>
      </c>
      <c r="E198" t="s">
        <v>215</v>
      </c>
      <c r="F198" t="s">
        <v>215</v>
      </c>
      <c r="G198" t="s">
        <v>215</v>
      </c>
      <c r="H198" t="s">
        <v>215</v>
      </c>
      <c r="I198" t="s">
        <v>23</v>
      </c>
      <c r="J198" t="s">
        <v>328</v>
      </c>
      <c r="K198" t="s">
        <v>25</v>
      </c>
      <c r="L198" t="s">
        <v>26</v>
      </c>
      <c r="M198" s="5" t="s">
        <v>42</v>
      </c>
      <c r="N198" s="5" t="s">
        <v>215</v>
      </c>
      <c r="O198" t="s">
        <v>43</v>
      </c>
    </row>
    <row r="199" spans="2:15" outlineLevel="1" x14ac:dyDescent="0.2">
      <c r="B199" t="s">
        <v>329</v>
      </c>
      <c r="C199" t="s">
        <v>215</v>
      </c>
      <c r="D199" t="s">
        <v>215</v>
      </c>
      <c r="E199" t="s">
        <v>215</v>
      </c>
      <c r="F199" t="s">
        <v>215</v>
      </c>
      <c r="G199" t="s">
        <v>215</v>
      </c>
      <c r="H199" t="s">
        <v>215</v>
      </c>
      <c r="I199" t="s">
        <v>23</v>
      </c>
      <c r="J199" t="s">
        <v>330</v>
      </c>
      <c r="K199" t="s">
        <v>25</v>
      </c>
      <c r="L199" t="s">
        <v>26</v>
      </c>
      <c r="M199" s="5" t="s">
        <v>42</v>
      </c>
      <c r="N199" s="5" t="s">
        <v>215</v>
      </c>
      <c r="O199" t="s">
        <v>43</v>
      </c>
    </row>
    <row r="200" spans="2:15" outlineLevel="1" x14ac:dyDescent="0.2">
      <c r="B200" t="s">
        <v>331</v>
      </c>
      <c r="C200" t="s">
        <v>215</v>
      </c>
      <c r="D200" t="s">
        <v>215</v>
      </c>
      <c r="E200" t="s">
        <v>215</v>
      </c>
      <c r="F200" t="s">
        <v>215</v>
      </c>
      <c r="G200" t="s">
        <v>215</v>
      </c>
      <c r="H200" t="s">
        <v>215</v>
      </c>
      <c r="I200" t="s">
        <v>23</v>
      </c>
      <c r="J200" t="s">
        <v>332</v>
      </c>
      <c r="K200" t="s">
        <v>25</v>
      </c>
      <c r="L200" t="s">
        <v>26</v>
      </c>
      <c r="M200" s="5" t="s">
        <v>42</v>
      </c>
      <c r="N200" s="5" t="s">
        <v>215</v>
      </c>
      <c r="O200" t="s">
        <v>43</v>
      </c>
    </row>
    <row r="201" spans="2:15" outlineLevel="1" x14ac:dyDescent="0.2">
      <c r="B201" t="s">
        <v>333</v>
      </c>
      <c r="C201" t="s">
        <v>215</v>
      </c>
      <c r="D201" t="s">
        <v>215</v>
      </c>
      <c r="E201" t="s">
        <v>215</v>
      </c>
      <c r="F201" t="s">
        <v>215</v>
      </c>
      <c r="G201" t="s">
        <v>215</v>
      </c>
      <c r="H201" t="s">
        <v>215</v>
      </c>
      <c r="I201" t="s">
        <v>23</v>
      </c>
      <c r="J201" t="s">
        <v>334</v>
      </c>
      <c r="K201" t="s">
        <v>25</v>
      </c>
      <c r="L201" t="s">
        <v>26</v>
      </c>
      <c r="M201" s="5" t="s">
        <v>42</v>
      </c>
      <c r="N201" s="5" t="s">
        <v>215</v>
      </c>
      <c r="O201" t="s">
        <v>43</v>
      </c>
    </row>
    <row r="202" spans="2:15" outlineLevel="1" x14ac:dyDescent="0.2">
      <c r="B202" t="s">
        <v>335</v>
      </c>
      <c r="C202" t="s">
        <v>215</v>
      </c>
      <c r="D202" t="s">
        <v>215</v>
      </c>
      <c r="E202" t="s">
        <v>215</v>
      </c>
      <c r="F202" t="s">
        <v>215</v>
      </c>
      <c r="G202" t="s">
        <v>215</v>
      </c>
      <c r="H202" t="s">
        <v>215</v>
      </c>
      <c r="I202" t="s">
        <v>23</v>
      </c>
      <c r="J202" t="s">
        <v>336</v>
      </c>
      <c r="K202" t="s">
        <v>25</v>
      </c>
      <c r="L202" t="s">
        <v>26</v>
      </c>
      <c r="M202" s="5" t="s">
        <v>42</v>
      </c>
      <c r="N202" s="5" t="s">
        <v>215</v>
      </c>
      <c r="O202" t="s">
        <v>43</v>
      </c>
    </row>
    <row r="203" spans="2:15" outlineLevel="1" x14ac:dyDescent="0.2">
      <c r="B203" t="s">
        <v>337</v>
      </c>
      <c r="C203" t="s">
        <v>215</v>
      </c>
      <c r="D203" t="s">
        <v>215</v>
      </c>
      <c r="E203" t="s">
        <v>215</v>
      </c>
      <c r="F203" t="s">
        <v>215</v>
      </c>
      <c r="G203" t="s">
        <v>215</v>
      </c>
      <c r="H203" t="s">
        <v>215</v>
      </c>
      <c r="I203" t="s">
        <v>23</v>
      </c>
      <c r="J203" t="s">
        <v>338</v>
      </c>
      <c r="K203" t="s">
        <v>25</v>
      </c>
      <c r="L203" t="s">
        <v>26</v>
      </c>
      <c r="M203" s="5" t="s">
        <v>42</v>
      </c>
      <c r="N203" s="5" t="s">
        <v>215</v>
      </c>
      <c r="O203" t="s">
        <v>43</v>
      </c>
    </row>
    <row r="204" spans="2:15" outlineLevel="1" x14ac:dyDescent="0.2">
      <c r="B204" t="s">
        <v>339</v>
      </c>
      <c r="C204" t="s">
        <v>215</v>
      </c>
      <c r="D204" t="s">
        <v>215</v>
      </c>
      <c r="E204" t="s">
        <v>215</v>
      </c>
      <c r="F204" t="s">
        <v>215</v>
      </c>
      <c r="G204" t="s">
        <v>215</v>
      </c>
      <c r="H204" t="s">
        <v>215</v>
      </c>
      <c r="I204" t="s">
        <v>23</v>
      </c>
      <c r="J204" t="s">
        <v>340</v>
      </c>
      <c r="K204" t="s">
        <v>25</v>
      </c>
      <c r="L204" t="s">
        <v>26</v>
      </c>
      <c r="M204" s="5" t="s">
        <v>42</v>
      </c>
      <c r="N204" s="5" t="s">
        <v>215</v>
      </c>
      <c r="O204" t="s">
        <v>43</v>
      </c>
    </row>
    <row r="205" spans="2:15" outlineLevel="1" x14ac:dyDescent="0.2">
      <c r="B205" t="s">
        <v>341</v>
      </c>
      <c r="C205" t="s">
        <v>215</v>
      </c>
      <c r="D205" t="s">
        <v>215</v>
      </c>
      <c r="E205" t="s">
        <v>215</v>
      </c>
      <c r="F205" t="s">
        <v>215</v>
      </c>
      <c r="G205" t="s">
        <v>215</v>
      </c>
      <c r="H205" t="s">
        <v>215</v>
      </c>
      <c r="I205" t="s">
        <v>23</v>
      </c>
      <c r="J205" t="s">
        <v>342</v>
      </c>
      <c r="K205" t="s">
        <v>25</v>
      </c>
      <c r="L205" t="s">
        <v>26</v>
      </c>
      <c r="M205" s="5" t="s">
        <v>42</v>
      </c>
      <c r="N205" s="5" t="s">
        <v>215</v>
      </c>
      <c r="O205" t="s">
        <v>43</v>
      </c>
    </row>
    <row r="206" spans="2:15" outlineLevel="1" x14ac:dyDescent="0.2">
      <c r="B206" t="s">
        <v>343</v>
      </c>
      <c r="C206" t="s">
        <v>215</v>
      </c>
      <c r="D206" t="s">
        <v>215</v>
      </c>
      <c r="E206" t="s">
        <v>215</v>
      </c>
      <c r="F206" t="s">
        <v>215</v>
      </c>
      <c r="G206" t="s">
        <v>215</v>
      </c>
      <c r="H206" t="s">
        <v>215</v>
      </c>
      <c r="I206" t="s">
        <v>23</v>
      </c>
      <c r="J206" t="s">
        <v>344</v>
      </c>
      <c r="K206" t="s">
        <v>25</v>
      </c>
      <c r="L206" t="s">
        <v>26</v>
      </c>
      <c r="M206" s="5" t="s">
        <v>42</v>
      </c>
      <c r="N206" s="5" t="s">
        <v>215</v>
      </c>
      <c r="O206" t="s">
        <v>43</v>
      </c>
    </row>
    <row r="207" spans="2:15" outlineLevel="1" x14ac:dyDescent="0.2">
      <c r="B207" t="s">
        <v>345</v>
      </c>
      <c r="C207" t="s">
        <v>215</v>
      </c>
      <c r="D207" t="s">
        <v>215</v>
      </c>
      <c r="E207" t="s">
        <v>215</v>
      </c>
      <c r="F207" t="s">
        <v>215</v>
      </c>
      <c r="G207" t="s">
        <v>215</v>
      </c>
      <c r="H207" t="s">
        <v>215</v>
      </c>
      <c r="I207" t="s">
        <v>23</v>
      </c>
      <c r="J207" t="s">
        <v>346</v>
      </c>
      <c r="K207" t="s">
        <v>25</v>
      </c>
      <c r="L207" t="s">
        <v>26</v>
      </c>
      <c r="M207" s="5" t="s">
        <v>42</v>
      </c>
      <c r="N207" s="5" t="s">
        <v>215</v>
      </c>
      <c r="O207" t="s">
        <v>43</v>
      </c>
    </row>
    <row r="208" spans="2:15" outlineLevel="1" x14ac:dyDescent="0.2">
      <c r="B208" t="s">
        <v>347</v>
      </c>
      <c r="C208" t="s">
        <v>215</v>
      </c>
      <c r="D208" t="s">
        <v>215</v>
      </c>
      <c r="E208" t="s">
        <v>215</v>
      </c>
      <c r="F208" t="s">
        <v>215</v>
      </c>
      <c r="G208" t="s">
        <v>215</v>
      </c>
      <c r="H208" t="s">
        <v>215</v>
      </c>
      <c r="I208" t="s">
        <v>23</v>
      </c>
      <c r="J208" t="s">
        <v>348</v>
      </c>
      <c r="K208" t="s">
        <v>25</v>
      </c>
      <c r="L208" t="s">
        <v>26</v>
      </c>
      <c r="M208" s="5" t="s">
        <v>42</v>
      </c>
      <c r="N208" s="5" t="s">
        <v>215</v>
      </c>
      <c r="O208" t="s">
        <v>43</v>
      </c>
    </row>
    <row r="209" spans="1:15" outlineLevel="1" x14ac:dyDescent="0.2">
      <c r="B209" t="s">
        <v>349</v>
      </c>
      <c r="C209" t="s">
        <v>215</v>
      </c>
      <c r="D209" t="s">
        <v>215</v>
      </c>
      <c r="E209" t="s">
        <v>215</v>
      </c>
      <c r="F209" t="s">
        <v>215</v>
      </c>
      <c r="G209" t="s">
        <v>215</v>
      </c>
      <c r="H209" t="s">
        <v>215</v>
      </c>
      <c r="I209" t="s">
        <v>23</v>
      </c>
      <c r="J209" t="s">
        <v>350</v>
      </c>
      <c r="K209" t="s">
        <v>25</v>
      </c>
      <c r="L209" t="s">
        <v>26</v>
      </c>
      <c r="M209" s="5" t="s">
        <v>42</v>
      </c>
      <c r="N209" s="5" t="s">
        <v>215</v>
      </c>
      <c r="O209" t="s">
        <v>43</v>
      </c>
    </row>
    <row r="210" spans="1:15" outlineLevel="1" x14ac:dyDescent="0.2">
      <c r="B210" t="s">
        <v>351</v>
      </c>
      <c r="C210" t="s">
        <v>215</v>
      </c>
      <c r="D210" t="s">
        <v>215</v>
      </c>
      <c r="E210" t="s">
        <v>215</v>
      </c>
      <c r="F210" t="s">
        <v>215</v>
      </c>
      <c r="G210" t="s">
        <v>215</v>
      </c>
      <c r="H210" t="s">
        <v>215</v>
      </c>
      <c r="I210" t="s">
        <v>23</v>
      </c>
      <c r="J210" t="s">
        <v>352</v>
      </c>
      <c r="K210" t="s">
        <v>25</v>
      </c>
      <c r="L210" t="s">
        <v>26</v>
      </c>
      <c r="M210" s="5" t="s">
        <v>42</v>
      </c>
      <c r="N210" s="5" t="s">
        <v>215</v>
      </c>
      <c r="O210" t="s">
        <v>43</v>
      </c>
    </row>
    <row r="211" spans="1:15" s="18" customFormat="1" x14ac:dyDescent="0.2">
      <c r="A211" s="35"/>
      <c r="B211" s="18" t="s">
        <v>353</v>
      </c>
      <c r="C211" s="18" t="s">
        <v>354</v>
      </c>
      <c r="D211" s="18" t="s">
        <v>355</v>
      </c>
      <c r="E211" s="18" t="s">
        <v>22</v>
      </c>
      <c r="F211" s="18">
        <v>255</v>
      </c>
      <c r="G211" s="18">
        <v>0</v>
      </c>
      <c r="H211" s="18">
        <v>255</v>
      </c>
      <c r="I211" s="18" t="s">
        <v>23</v>
      </c>
      <c r="J211" s="18">
        <v>3000</v>
      </c>
      <c r="K211" s="18" t="s">
        <v>25</v>
      </c>
      <c r="L211" s="18">
        <v>1</v>
      </c>
      <c r="M211" s="19" t="s">
        <v>27</v>
      </c>
      <c r="N211" s="19" t="s">
        <v>28</v>
      </c>
      <c r="O211" s="18" t="s">
        <v>29</v>
      </c>
    </row>
  </sheetData>
  <phoneticPr fontId="3" type="noConversion"/>
  <hyperlinks>
    <hyperlink ref="P3" r:id="rId1" display="https://www.csimn.com/CSI_pages/Modbus101.html" xr:uid="{1840F67D-E2EC-4D69-89D6-AD6C3D9FBB67}"/>
  </hyperlinks>
  <pageMargins left="0.7" right="0.7" top="0.75" bottom="0.75" header="0.3" footer="0.3"/>
  <pageSetup paperSize="9" scale="28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C659-C8FA-4D6C-A087-8AA814CBF957}">
  <dimension ref="A1:G34"/>
  <sheetViews>
    <sheetView zoomScale="115" zoomScaleNormal="115" workbookViewId="0">
      <selection activeCell="B22" sqref="B22:C22"/>
    </sheetView>
  </sheetViews>
  <sheetFormatPr baseColWidth="10" defaultColWidth="11.5" defaultRowHeight="15" x14ac:dyDescent="0.2"/>
  <cols>
    <col min="2" max="2" width="12.5" bestFit="1" customWidth="1"/>
    <col min="3" max="3" width="49" bestFit="1" customWidth="1"/>
    <col min="4" max="4" width="19.6640625" bestFit="1" customWidth="1"/>
    <col min="5" max="5" width="18.5" bestFit="1" customWidth="1"/>
    <col min="6" max="6" width="18.5" customWidth="1"/>
    <col min="7" max="8" width="20.5" customWidth="1"/>
  </cols>
  <sheetData>
    <row r="1" spans="1:7" x14ac:dyDescent="0.2">
      <c r="A1" s="17"/>
      <c r="B1" s="17"/>
      <c r="C1" s="17"/>
      <c r="D1" s="17"/>
      <c r="E1" s="17"/>
      <c r="F1" s="17"/>
      <c r="G1" s="17"/>
    </row>
    <row r="2" spans="1:7" ht="16" x14ac:dyDescent="0.2">
      <c r="A2" s="17"/>
      <c r="B2" s="20" t="s">
        <v>356</v>
      </c>
      <c r="C2" s="20"/>
      <c r="D2" s="17"/>
      <c r="E2" s="17"/>
      <c r="F2" s="17"/>
      <c r="G2" s="17"/>
    </row>
    <row r="3" spans="1:7" x14ac:dyDescent="0.2">
      <c r="A3" s="17"/>
      <c r="B3" s="17"/>
      <c r="C3" s="17"/>
      <c r="D3" s="17"/>
      <c r="E3" s="17"/>
      <c r="F3" s="17"/>
      <c r="G3" s="17"/>
    </row>
    <row r="4" spans="1:7" x14ac:dyDescent="0.2">
      <c r="A4" s="17" t="s">
        <v>357</v>
      </c>
      <c r="B4" s="17" t="s">
        <v>358</v>
      </c>
      <c r="C4" s="17"/>
      <c r="D4" s="17"/>
      <c r="E4" s="17"/>
      <c r="F4" s="17"/>
      <c r="G4" s="17"/>
    </row>
    <row r="5" spans="1:7" x14ac:dyDescent="0.2">
      <c r="A5" s="17"/>
      <c r="B5" s="17" t="s">
        <v>359</v>
      </c>
      <c r="C5" s="17"/>
      <c r="D5" s="17"/>
      <c r="E5" s="17"/>
      <c r="F5" s="17"/>
      <c r="G5" s="17"/>
    </row>
    <row r="6" spans="1:7" x14ac:dyDescent="0.2">
      <c r="A6" s="17"/>
      <c r="B6" s="17"/>
      <c r="C6" s="17"/>
      <c r="D6" s="17"/>
      <c r="E6" s="17"/>
      <c r="F6" s="17"/>
      <c r="G6" s="17"/>
    </row>
    <row r="7" spans="1:7" x14ac:dyDescent="0.2">
      <c r="A7" s="17" t="s">
        <v>360</v>
      </c>
      <c r="B7" s="17"/>
      <c r="C7" s="17" t="s">
        <v>361</v>
      </c>
      <c r="D7" s="17"/>
      <c r="E7" s="17"/>
      <c r="F7" s="17"/>
      <c r="G7" s="17"/>
    </row>
    <row r="8" spans="1:7" x14ac:dyDescent="0.2">
      <c r="A8" s="17"/>
      <c r="B8" s="17"/>
      <c r="C8" s="17"/>
      <c r="D8" s="17"/>
      <c r="E8" s="17"/>
      <c r="F8" s="17"/>
      <c r="G8" s="17"/>
    </row>
    <row r="9" spans="1:7" x14ac:dyDescent="0.2">
      <c r="A9" s="17"/>
      <c r="B9" s="28" t="s">
        <v>362</v>
      </c>
      <c r="C9" s="29" t="s">
        <v>363</v>
      </c>
      <c r="D9" s="27" t="s">
        <v>364</v>
      </c>
      <c r="E9" s="30" t="s">
        <v>365</v>
      </c>
      <c r="F9" s="30" t="s">
        <v>366</v>
      </c>
      <c r="G9" s="30" t="s">
        <v>367</v>
      </c>
    </row>
    <row r="10" spans="1:7" x14ac:dyDescent="0.2">
      <c r="A10" s="17"/>
      <c r="B10" s="31">
        <v>1</v>
      </c>
      <c r="C10" s="32" t="s">
        <v>368</v>
      </c>
      <c r="D10" s="33" t="s">
        <v>369</v>
      </c>
      <c r="E10" s="34" t="s">
        <v>369</v>
      </c>
      <c r="F10" s="34" t="s">
        <v>369</v>
      </c>
      <c r="G10" s="34" t="s">
        <v>369</v>
      </c>
    </row>
    <row r="11" spans="1:7" x14ac:dyDescent="0.2">
      <c r="A11" s="17"/>
      <c r="B11" s="31">
        <v>2</v>
      </c>
      <c r="C11" s="32" t="s">
        <v>370</v>
      </c>
      <c r="D11" s="33" t="s">
        <v>369</v>
      </c>
      <c r="E11" s="34" t="s">
        <v>369</v>
      </c>
      <c r="F11" s="34" t="s">
        <v>369</v>
      </c>
      <c r="G11" s="34" t="s">
        <v>369</v>
      </c>
    </row>
    <row r="12" spans="1:7" x14ac:dyDescent="0.2">
      <c r="A12" s="17"/>
      <c r="B12" s="31">
        <v>3</v>
      </c>
      <c r="C12" s="32" t="s">
        <v>371</v>
      </c>
      <c r="D12" s="33" t="s">
        <v>369</v>
      </c>
      <c r="E12" s="34" t="s">
        <v>369</v>
      </c>
      <c r="F12" s="34" t="s">
        <v>369</v>
      </c>
      <c r="G12" s="34" t="s">
        <v>369</v>
      </c>
    </row>
    <row r="13" spans="1:7" x14ac:dyDescent="0.2">
      <c r="A13" s="17"/>
      <c r="B13" s="31">
        <v>4</v>
      </c>
      <c r="C13" s="32" t="s">
        <v>372</v>
      </c>
      <c r="D13" s="33" t="s">
        <v>369</v>
      </c>
      <c r="E13" s="34" t="s">
        <v>369</v>
      </c>
      <c r="F13" s="34" t="s">
        <v>369</v>
      </c>
      <c r="G13" s="34" t="s">
        <v>369</v>
      </c>
    </row>
    <row r="14" spans="1:7" x14ac:dyDescent="0.2">
      <c r="A14" s="17"/>
      <c r="B14" s="31">
        <v>5</v>
      </c>
      <c r="C14" s="32" t="s">
        <v>373</v>
      </c>
      <c r="D14" s="33" t="s">
        <v>369</v>
      </c>
      <c r="E14" s="34" t="s">
        <v>369</v>
      </c>
      <c r="F14" s="34" t="s">
        <v>369</v>
      </c>
      <c r="G14" s="34" t="s">
        <v>369</v>
      </c>
    </row>
    <row r="15" spans="1:7" x14ac:dyDescent="0.2">
      <c r="A15" s="17"/>
      <c r="B15" s="31">
        <v>6</v>
      </c>
      <c r="C15" s="32" t="s">
        <v>374</v>
      </c>
      <c r="D15" s="33" t="s">
        <v>369</v>
      </c>
      <c r="E15" s="34" t="s">
        <v>369</v>
      </c>
      <c r="F15" s="34" t="s">
        <v>369</v>
      </c>
      <c r="G15" s="34" t="s">
        <v>369</v>
      </c>
    </row>
    <row r="16" spans="1:7" x14ac:dyDescent="0.2">
      <c r="A16" s="17"/>
      <c r="B16" s="31">
        <v>7</v>
      </c>
      <c r="C16" s="32" t="s">
        <v>375</v>
      </c>
      <c r="D16" s="33" t="s">
        <v>369</v>
      </c>
      <c r="E16" s="34" t="s">
        <v>369</v>
      </c>
      <c r="F16" s="34" t="s">
        <v>369</v>
      </c>
      <c r="G16" s="34" t="s">
        <v>369</v>
      </c>
    </row>
    <row r="17" spans="1:7" x14ac:dyDescent="0.2">
      <c r="A17" s="17"/>
      <c r="B17" s="31">
        <v>8</v>
      </c>
      <c r="C17" s="32" t="s">
        <v>376</v>
      </c>
      <c r="D17" s="33" t="s">
        <v>369</v>
      </c>
      <c r="E17" s="34" t="s">
        <v>369</v>
      </c>
      <c r="F17" s="34" t="s">
        <v>369</v>
      </c>
      <c r="G17" s="34" t="s">
        <v>369</v>
      </c>
    </row>
    <row r="18" spans="1:7" x14ac:dyDescent="0.2">
      <c r="A18" s="17"/>
      <c r="B18" s="31">
        <v>9</v>
      </c>
      <c r="C18" s="32" t="s">
        <v>377</v>
      </c>
      <c r="D18" s="33" t="s">
        <v>369</v>
      </c>
      <c r="E18" s="34" t="s">
        <v>369</v>
      </c>
      <c r="F18" s="34" t="s">
        <v>369</v>
      </c>
      <c r="G18" s="34" t="s">
        <v>369</v>
      </c>
    </row>
    <row r="19" spans="1:7" x14ac:dyDescent="0.2">
      <c r="A19" s="17"/>
      <c r="B19" s="31">
        <v>10</v>
      </c>
      <c r="C19" s="32" t="s">
        <v>378</v>
      </c>
      <c r="D19" s="33" t="s">
        <v>369</v>
      </c>
      <c r="E19" s="34" t="s">
        <v>369</v>
      </c>
      <c r="F19" s="34" t="s">
        <v>369</v>
      </c>
      <c r="G19" s="34" t="s">
        <v>369</v>
      </c>
    </row>
    <row r="20" spans="1:7" x14ac:dyDescent="0.2">
      <c r="A20" s="17"/>
      <c r="B20" s="31">
        <v>11</v>
      </c>
      <c r="C20" s="32" t="s">
        <v>379</v>
      </c>
      <c r="D20" s="33" t="s">
        <v>369</v>
      </c>
      <c r="E20" s="34" t="s">
        <v>369</v>
      </c>
      <c r="F20" s="34" t="s">
        <v>369</v>
      </c>
      <c r="G20" s="34" t="s">
        <v>369</v>
      </c>
    </row>
    <row r="21" spans="1:7" x14ac:dyDescent="0.2">
      <c r="A21" s="17"/>
      <c r="B21" s="31">
        <v>12</v>
      </c>
      <c r="C21" s="32" t="s">
        <v>380</v>
      </c>
      <c r="D21" s="33" t="s">
        <v>369</v>
      </c>
      <c r="E21" s="34" t="s">
        <v>369</v>
      </c>
      <c r="F21" s="34" t="s">
        <v>369</v>
      </c>
      <c r="G21" s="34" t="s">
        <v>369</v>
      </c>
    </row>
    <row r="22" spans="1:7" x14ac:dyDescent="0.2">
      <c r="A22" s="17"/>
      <c r="B22" s="31">
        <v>13</v>
      </c>
      <c r="C22" s="32" t="s">
        <v>381</v>
      </c>
      <c r="D22" s="33" t="s">
        <v>369</v>
      </c>
      <c r="E22" s="34" t="s">
        <v>369</v>
      </c>
      <c r="F22" s="34" t="s">
        <v>369</v>
      </c>
      <c r="G22" s="34" t="s">
        <v>369</v>
      </c>
    </row>
    <row r="23" spans="1:7" x14ac:dyDescent="0.2">
      <c r="A23" s="17"/>
      <c r="B23" s="31">
        <v>14</v>
      </c>
      <c r="C23" s="32" t="s">
        <v>382</v>
      </c>
      <c r="D23" s="33" t="s">
        <v>369</v>
      </c>
      <c r="E23" s="34" t="s">
        <v>369</v>
      </c>
      <c r="F23" s="34" t="s">
        <v>369</v>
      </c>
      <c r="G23" s="34" t="s">
        <v>369</v>
      </c>
    </row>
    <row r="24" spans="1:7" x14ac:dyDescent="0.2">
      <c r="A24" s="17"/>
      <c r="B24" s="31">
        <v>15</v>
      </c>
      <c r="C24" s="32" t="s">
        <v>383</v>
      </c>
      <c r="D24" s="33" t="s">
        <v>369</v>
      </c>
      <c r="E24" s="34" t="s">
        <v>369</v>
      </c>
      <c r="F24" s="34" t="s">
        <v>369</v>
      </c>
      <c r="G24" s="34" t="s">
        <v>369</v>
      </c>
    </row>
    <row r="25" spans="1:7" x14ac:dyDescent="0.2">
      <c r="A25" s="17"/>
      <c r="B25" s="31">
        <v>16</v>
      </c>
      <c r="C25" s="32" t="s">
        <v>384</v>
      </c>
      <c r="D25" s="33" t="s">
        <v>369</v>
      </c>
      <c r="E25" s="34" t="s">
        <v>369</v>
      </c>
      <c r="F25" s="34" t="s">
        <v>369</v>
      </c>
      <c r="G25" s="34" t="s">
        <v>369</v>
      </c>
    </row>
    <row r="26" spans="1:7" x14ac:dyDescent="0.2">
      <c r="A26" s="17"/>
      <c r="B26" s="31">
        <v>17</v>
      </c>
      <c r="C26" s="32" t="s">
        <v>385</v>
      </c>
      <c r="D26" s="33" t="s">
        <v>369</v>
      </c>
      <c r="E26" s="34" t="s">
        <v>369</v>
      </c>
      <c r="F26" s="34" t="s">
        <v>369</v>
      </c>
      <c r="G26" s="34" t="s">
        <v>369</v>
      </c>
    </row>
    <row r="27" spans="1:7" x14ac:dyDescent="0.2">
      <c r="A27" s="17"/>
      <c r="B27" s="31">
        <v>18</v>
      </c>
      <c r="C27" s="32" t="s">
        <v>386</v>
      </c>
      <c r="D27" s="33" t="s">
        <v>369</v>
      </c>
      <c r="E27" s="34" t="s">
        <v>369</v>
      </c>
      <c r="F27" s="34" t="s">
        <v>369</v>
      </c>
      <c r="G27" s="34" t="s">
        <v>369</v>
      </c>
    </row>
    <row r="28" spans="1:7" x14ac:dyDescent="0.2">
      <c r="A28" s="17"/>
      <c r="B28" s="31">
        <v>19</v>
      </c>
      <c r="C28" s="32" t="s">
        <v>387</v>
      </c>
      <c r="D28" s="33" t="s">
        <v>369</v>
      </c>
      <c r="E28" s="34" t="s">
        <v>369</v>
      </c>
      <c r="F28" s="34" t="s">
        <v>369</v>
      </c>
      <c r="G28" s="34" t="s">
        <v>369</v>
      </c>
    </row>
    <row r="29" spans="1:7" x14ac:dyDescent="0.2">
      <c r="A29" s="17"/>
      <c r="B29" s="31">
        <v>20</v>
      </c>
      <c r="C29" s="32" t="s">
        <v>388</v>
      </c>
      <c r="D29" s="33" t="s">
        <v>369</v>
      </c>
      <c r="E29" s="34" t="s">
        <v>369</v>
      </c>
      <c r="F29" s="34" t="s">
        <v>369</v>
      </c>
      <c r="G29" s="34" t="s">
        <v>369</v>
      </c>
    </row>
    <row r="30" spans="1:7" x14ac:dyDescent="0.2">
      <c r="A30" s="17"/>
      <c r="B30" s="31">
        <v>21</v>
      </c>
      <c r="C30" s="32" t="s">
        <v>389</v>
      </c>
      <c r="D30" s="33" t="s">
        <v>369</v>
      </c>
      <c r="E30" s="34" t="s">
        <v>369</v>
      </c>
      <c r="F30" s="34" t="s">
        <v>369</v>
      </c>
      <c r="G30" s="34" t="s">
        <v>369</v>
      </c>
    </row>
    <row r="31" spans="1:7" x14ac:dyDescent="0.2">
      <c r="A31" s="17"/>
      <c r="B31" s="17"/>
      <c r="C31" s="17"/>
      <c r="D31" s="17"/>
      <c r="E31" s="17"/>
      <c r="F31" s="17"/>
      <c r="G31" s="17"/>
    </row>
    <row r="32" spans="1:7" x14ac:dyDescent="0.2">
      <c r="A32" s="17"/>
      <c r="B32" s="17"/>
      <c r="C32" s="17"/>
      <c r="D32" s="17"/>
      <c r="E32" s="17"/>
      <c r="F32" s="17"/>
      <c r="G32" s="17"/>
    </row>
    <row r="33" spans="1:7" x14ac:dyDescent="0.2">
      <c r="A33" s="17"/>
      <c r="B33" s="17"/>
      <c r="C33" s="17"/>
      <c r="D33" s="17"/>
      <c r="E33" s="17"/>
      <c r="F33" s="17"/>
      <c r="G33" s="17"/>
    </row>
    <row r="34" spans="1:7" x14ac:dyDescent="0.2">
      <c r="A34" s="17" t="s">
        <v>390</v>
      </c>
      <c r="B34" s="17" t="s">
        <v>391</v>
      </c>
      <c r="C34" s="17"/>
      <c r="D34" s="17"/>
      <c r="E34" s="17"/>
      <c r="F34" s="17"/>
      <c r="G34" s="1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B208-87FF-4F7C-868E-BAF8D4A2CB48}">
  <dimension ref="A2"/>
  <sheetViews>
    <sheetView topLeftCell="A7" zoomScaleNormal="100" workbookViewId="0">
      <selection activeCell="S21" sqref="S21"/>
    </sheetView>
  </sheetViews>
  <sheetFormatPr baseColWidth="10" defaultColWidth="11.5" defaultRowHeight="15" x14ac:dyDescent="0.2"/>
  <sheetData>
    <row r="2" spans="1:1" ht="26" x14ac:dyDescent="0.3">
      <c r="A2" s="22" t="s">
        <v>392</v>
      </c>
    </row>
  </sheetData>
  <pageMargins left="0.7" right="0.7" top="0.78740157499999996" bottom="0.78740157499999996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4FB-AE7B-4D26-9BA2-19135FC81B66}">
  <dimension ref="A1:P46"/>
  <sheetViews>
    <sheetView workbookViewId="0">
      <selection activeCell="C31" sqref="C31"/>
    </sheetView>
  </sheetViews>
  <sheetFormatPr baseColWidth="10" defaultColWidth="11.5" defaultRowHeight="15" outlineLevelRow="1" x14ac:dyDescent="0.2"/>
  <cols>
    <col min="2" max="2" width="29.5" bestFit="1" customWidth="1"/>
    <col min="3" max="3" width="62.6640625" bestFit="1" customWidth="1"/>
    <col min="4" max="4" width="4.5" bestFit="1" customWidth="1"/>
    <col min="16" max="16" width="33.6640625" style="2" customWidth="1"/>
  </cols>
  <sheetData>
    <row r="1" spans="1:16" ht="16" thickBot="1" x14ac:dyDescent="0.25"/>
    <row r="2" spans="1:16" ht="17" thickBot="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6" t="s">
        <v>15</v>
      </c>
      <c r="N2" s="6" t="s">
        <v>16</v>
      </c>
      <c r="O2" s="1" t="s">
        <v>17</v>
      </c>
      <c r="P2" s="38" t="s">
        <v>393</v>
      </c>
    </row>
    <row r="3" spans="1:16" ht="48" x14ac:dyDescent="0.2">
      <c r="B3" s="17" t="s">
        <v>19</v>
      </c>
      <c r="C3" s="17" t="s">
        <v>20</v>
      </c>
      <c r="D3" t="s">
        <v>21</v>
      </c>
      <c r="E3" t="s">
        <v>22</v>
      </c>
      <c r="F3">
        <v>120</v>
      </c>
      <c r="G3">
        <v>0</v>
      </c>
      <c r="H3" s="17">
        <v>3600</v>
      </c>
      <c r="I3" t="s">
        <v>23</v>
      </c>
      <c r="J3" s="9" t="s">
        <v>24</v>
      </c>
      <c r="K3" t="s">
        <v>25</v>
      </c>
      <c r="L3" s="9" t="s">
        <v>26</v>
      </c>
      <c r="M3" s="5" t="s">
        <v>27</v>
      </c>
      <c r="N3" s="5" t="s">
        <v>28</v>
      </c>
      <c r="O3" t="s">
        <v>29</v>
      </c>
      <c r="P3" s="37" t="s">
        <v>394</v>
      </c>
    </row>
    <row r="4" spans="1:16" ht="16" x14ac:dyDescent="0.2">
      <c r="B4" s="23" t="s">
        <v>30</v>
      </c>
      <c r="C4" s="23" t="s">
        <v>31</v>
      </c>
      <c r="D4" s="23" t="s">
        <v>32</v>
      </c>
      <c r="E4" s="23" t="s">
        <v>22</v>
      </c>
      <c r="F4" s="24" t="s">
        <v>33</v>
      </c>
      <c r="G4" s="24" t="s">
        <v>33</v>
      </c>
      <c r="H4" s="24" t="s">
        <v>26</v>
      </c>
      <c r="I4" s="23" t="s">
        <v>23</v>
      </c>
      <c r="J4" s="24" t="s">
        <v>34</v>
      </c>
      <c r="K4" s="23" t="s">
        <v>25</v>
      </c>
      <c r="L4" s="24" t="s">
        <v>26</v>
      </c>
      <c r="M4" s="25"/>
      <c r="N4" s="25" t="s">
        <v>28</v>
      </c>
      <c r="O4" s="23" t="s">
        <v>35</v>
      </c>
      <c r="P4" s="37" t="s">
        <v>395</v>
      </c>
    </row>
    <row r="5" spans="1:16" s="23" customFormat="1" ht="32" x14ac:dyDescent="0.2">
      <c r="B5" s="23" t="s">
        <v>48</v>
      </c>
      <c r="C5" s="23" t="s">
        <v>49</v>
      </c>
      <c r="D5" s="23" t="s">
        <v>32</v>
      </c>
      <c r="E5" s="23" t="s">
        <v>22</v>
      </c>
      <c r="F5" s="24" t="s">
        <v>33</v>
      </c>
      <c r="G5" s="24" t="s">
        <v>33</v>
      </c>
      <c r="H5" s="24" t="s">
        <v>26</v>
      </c>
      <c r="I5" s="23" t="s">
        <v>23</v>
      </c>
      <c r="J5" s="24" t="s">
        <v>50</v>
      </c>
      <c r="K5" s="23" t="s">
        <v>25</v>
      </c>
      <c r="L5" s="24" t="s">
        <v>26</v>
      </c>
      <c r="M5" s="25" t="s">
        <v>27</v>
      </c>
      <c r="N5" s="25" t="s">
        <v>28</v>
      </c>
      <c r="O5" s="23" t="s">
        <v>29</v>
      </c>
      <c r="P5" s="37" t="s">
        <v>396</v>
      </c>
    </row>
    <row r="6" spans="1:16" ht="80" x14ac:dyDescent="0.2">
      <c r="B6" t="s">
        <v>54</v>
      </c>
      <c r="C6" s="2" t="s">
        <v>397</v>
      </c>
      <c r="D6" t="s">
        <v>32</v>
      </c>
      <c r="E6" t="s">
        <v>22</v>
      </c>
      <c r="F6" s="9" t="s">
        <v>33</v>
      </c>
      <c r="G6" s="9" t="s">
        <v>33</v>
      </c>
      <c r="H6" s="9" t="s">
        <v>56</v>
      </c>
      <c r="I6" t="s">
        <v>23</v>
      </c>
      <c r="J6" s="9" t="s">
        <v>57</v>
      </c>
      <c r="K6" t="s">
        <v>25</v>
      </c>
      <c r="L6" s="9" t="s">
        <v>26</v>
      </c>
      <c r="M6" s="5" t="s">
        <v>27</v>
      </c>
      <c r="N6" s="5" t="s">
        <v>28</v>
      </c>
      <c r="O6" t="s">
        <v>29</v>
      </c>
      <c r="P6" s="37" t="s">
        <v>398</v>
      </c>
    </row>
    <row r="7" spans="1:16" ht="32" x14ac:dyDescent="0.2">
      <c r="B7" t="s">
        <v>60</v>
      </c>
      <c r="C7" t="s">
        <v>61</v>
      </c>
      <c r="D7" t="s">
        <v>62</v>
      </c>
      <c r="E7" s="36" t="s">
        <v>232</v>
      </c>
      <c r="F7" s="9" t="s">
        <v>33</v>
      </c>
      <c r="G7" s="9">
        <v>-6750</v>
      </c>
      <c r="H7" s="9">
        <v>6750</v>
      </c>
      <c r="I7" t="s">
        <v>64</v>
      </c>
      <c r="J7" s="9" t="s">
        <v>65</v>
      </c>
      <c r="K7" t="s">
        <v>25</v>
      </c>
      <c r="L7" s="9" t="s">
        <v>26</v>
      </c>
      <c r="M7" s="5" t="s">
        <v>27</v>
      </c>
      <c r="N7" s="5" t="s">
        <v>28</v>
      </c>
      <c r="O7" t="s">
        <v>29</v>
      </c>
      <c r="P7" s="37" t="s">
        <v>399</v>
      </c>
    </row>
    <row r="8" spans="1:16" ht="16" outlineLevel="1" x14ac:dyDescent="0.2">
      <c r="B8" t="s">
        <v>147</v>
      </c>
      <c r="D8" t="s">
        <v>146</v>
      </c>
      <c r="E8">
        <v>0.01</v>
      </c>
      <c r="F8">
        <v>0</v>
      </c>
      <c r="G8">
        <v>0</v>
      </c>
      <c r="H8">
        <v>10000</v>
      </c>
      <c r="I8" t="s">
        <v>23</v>
      </c>
      <c r="J8">
        <v>6576</v>
      </c>
      <c r="K8" t="s">
        <v>25</v>
      </c>
      <c r="L8" s="9">
        <v>1</v>
      </c>
      <c r="M8" s="5" t="s">
        <v>27</v>
      </c>
      <c r="N8" s="5"/>
      <c r="O8" t="s">
        <v>43</v>
      </c>
      <c r="P8" s="37" t="s">
        <v>400</v>
      </c>
    </row>
    <row r="9" spans="1:16" ht="16" outlineLevel="1" x14ac:dyDescent="0.2">
      <c r="B9" t="s">
        <v>154</v>
      </c>
      <c r="D9" t="s">
        <v>146</v>
      </c>
      <c r="E9">
        <v>0.01</v>
      </c>
      <c r="F9">
        <v>0</v>
      </c>
      <c r="G9">
        <v>0</v>
      </c>
      <c r="H9">
        <v>10000</v>
      </c>
      <c r="I9" t="s">
        <v>23</v>
      </c>
      <c r="J9">
        <v>6640</v>
      </c>
      <c r="K9" t="s">
        <v>25</v>
      </c>
      <c r="L9" s="9">
        <v>1</v>
      </c>
      <c r="M9" s="5" t="s">
        <v>27</v>
      </c>
      <c r="N9" s="5"/>
      <c r="O9" t="s">
        <v>43</v>
      </c>
      <c r="P9" s="37" t="s">
        <v>401</v>
      </c>
    </row>
    <row r="10" spans="1:16" ht="16" outlineLevel="1" x14ac:dyDescent="0.2">
      <c r="B10" t="s">
        <v>161</v>
      </c>
      <c r="D10" t="s">
        <v>146</v>
      </c>
      <c r="E10">
        <v>0.01</v>
      </c>
      <c r="F10">
        <v>0</v>
      </c>
      <c r="G10">
        <v>0</v>
      </c>
      <c r="H10">
        <v>10000</v>
      </c>
      <c r="I10" t="s">
        <v>23</v>
      </c>
      <c r="J10">
        <v>6704</v>
      </c>
      <c r="K10" t="s">
        <v>25</v>
      </c>
      <c r="L10" s="9">
        <v>1</v>
      </c>
      <c r="M10" s="5" t="s">
        <v>27</v>
      </c>
      <c r="N10" s="5"/>
      <c r="O10" t="s">
        <v>43</v>
      </c>
      <c r="P10" s="37" t="s">
        <v>402</v>
      </c>
    </row>
    <row r="11" spans="1:16" ht="32" outlineLevel="1" x14ac:dyDescent="0.2">
      <c r="A11" s="23"/>
      <c r="B11" t="s">
        <v>193</v>
      </c>
      <c r="D11" t="s">
        <v>122</v>
      </c>
      <c r="E11" t="s">
        <v>22</v>
      </c>
      <c r="F11">
        <v>0</v>
      </c>
      <c r="G11">
        <v>-98</v>
      </c>
      <c r="H11">
        <v>98</v>
      </c>
      <c r="I11" t="s">
        <v>23</v>
      </c>
      <c r="J11">
        <v>6960</v>
      </c>
      <c r="K11" t="s">
        <v>25</v>
      </c>
      <c r="L11" s="9">
        <v>1</v>
      </c>
      <c r="M11" s="5" t="s">
        <v>27</v>
      </c>
      <c r="N11" s="5"/>
      <c r="O11" t="s">
        <v>43</v>
      </c>
      <c r="P11" s="37" t="s">
        <v>403</v>
      </c>
    </row>
    <row r="12" spans="1:16" ht="32" outlineLevel="1" x14ac:dyDescent="0.2">
      <c r="A12" s="23"/>
      <c r="B12" t="s">
        <v>197</v>
      </c>
      <c r="D12" t="s">
        <v>122</v>
      </c>
      <c r="E12" t="s">
        <v>22</v>
      </c>
      <c r="F12">
        <v>0</v>
      </c>
      <c r="G12">
        <v>-98</v>
      </c>
      <c r="H12">
        <v>98</v>
      </c>
      <c r="I12" t="s">
        <v>23</v>
      </c>
      <c r="J12">
        <v>6964</v>
      </c>
      <c r="K12" t="s">
        <v>25</v>
      </c>
      <c r="L12" s="9">
        <v>1</v>
      </c>
      <c r="M12" s="5" t="s">
        <v>27</v>
      </c>
      <c r="N12" s="5"/>
      <c r="O12" t="s">
        <v>43</v>
      </c>
      <c r="P12" s="37" t="s">
        <v>404</v>
      </c>
    </row>
    <row r="13" spans="1:16" ht="80" x14ac:dyDescent="0.2">
      <c r="B13" t="s">
        <v>212</v>
      </c>
      <c r="C13" s="21" t="s">
        <v>213</v>
      </c>
      <c r="D13" t="s">
        <v>32</v>
      </c>
      <c r="E13" t="s">
        <v>22</v>
      </c>
      <c r="F13">
        <v>0</v>
      </c>
      <c r="G13">
        <v>0</v>
      </c>
      <c r="H13">
        <v>6</v>
      </c>
      <c r="I13" t="s">
        <v>64</v>
      </c>
      <c r="J13" s="9" t="s">
        <v>214</v>
      </c>
      <c r="K13" t="s">
        <v>25</v>
      </c>
      <c r="L13" s="9" t="s">
        <v>26</v>
      </c>
      <c r="M13" s="5" t="s">
        <v>42</v>
      </c>
      <c r="N13" s="5" t="s">
        <v>215</v>
      </c>
      <c r="O13" t="s">
        <v>43</v>
      </c>
      <c r="P13" s="37" t="s">
        <v>405</v>
      </c>
    </row>
    <row r="14" spans="1:16" ht="64" x14ac:dyDescent="0.2">
      <c r="B14" t="s">
        <v>225</v>
      </c>
      <c r="C14" s="2" t="s">
        <v>406</v>
      </c>
      <c r="D14" t="s">
        <v>32</v>
      </c>
      <c r="E14" t="s">
        <v>22</v>
      </c>
      <c r="F14" s="9" t="s">
        <v>33</v>
      </c>
      <c r="G14" s="9" t="s">
        <v>33</v>
      </c>
      <c r="H14" s="9">
        <v>4</v>
      </c>
      <c r="I14" t="s">
        <v>23</v>
      </c>
      <c r="J14" s="9">
        <v>5023</v>
      </c>
      <c r="K14" t="s">
        <v>25</v>
      </c>
      <c r="L14" s="9" t="s">
        <v>26</v>
      </c>
      <c r="M14" s="5" t="s">
        <v>42</v>
      </c>
      <c r="N14" s="5" t="s">
        <v>215</v>
      </c>
      <c r="O14" t="s">
        <v>43</v>
      </c>
      <c r="P14" s="37" t="s">
        <v>407</v>
      </c>
    </row>
    <row r="15" spans="1:16" ht="16" x14ac:dyDescent="0.2">
      <c r="B15" t="s">
        <v>229</v>
      </c>
      <c r="C15" t="s">
        <v>230</v>
      </c>
      <c r="D15" t="s">
        <v>231</v>
      </c>
      <c r="E15" t="s">
        <v>232</v>
      </c>
      <c r="F15">
        <v>0</v>
      </c>
      <c r="G15" t="s">
        <v>32</v>
      </c>
      <c r="H15" t="s">
        <v>32</v>
      </c>
      <c r="I15" t="s">
        <v>64</v>
      </c>
      <c r="J15" s="9" t="s">
        <v>233</v>
      </c>
      <c r="K15" t="s">
        <v>25</v>
      </c>
      <c r="L15" s="9" t="s">
        <v>26</v>
      </c>
      <c r="M15" s="5" t="s">
        <v>42</v>
      </c>
      <c r="N15" s="5" t="s">
        <v>215</v>
      </c>
      <c r="O15" t="s">
        <v>43</v>
      </c>
      <c r="P15" s="37" t="s">
        <v>408</v>
      </c>
    </row>
    <row r="16" spans="1:16" ht="16" x14ac:dyDescent="0.2">
      <c r="B16" t="s">
        <v>234</v>
      </c>
      <c r="C16" t="s">
        <v>235</v>
      </c>
      <c r="D16" t="s">
        <v>231</v>
      </c>
      <c r="E16" t="s">
        <v>232</v>
      </c>
      <c r="F16">
        <v>0</v>
      </c>
      <c r="G16">
        <v>-6750</v>
      </c>
      <c r="H16">
        <v>6750</v>
      </c>
      <c r="I16" t="s">
        <v>64</v>
      </c>
      <c r="J16" s="9" t="s">
        <v>236</v>
      </c>
      <c r="K16" t="s">
        <v>25</v>
      </c>
      <c r="L16" s="9" t="s">
        <v>26</v>
      </c>
      <c r="M16" s="5" t="s">
        <v>42</v>
      </c>
      <c r="N16" s="5" t="s">
        <v>215</v>
      </c>
      <c r="O16" t="s">
        <v>43</v>
      </c>
      <c r="P16" s="37" t="s">
        <v>409</v>
      </c>
    </row>
    <row r="17" spans="2:16" ht="16" x14ac:dyDescent="0.2">
      <c r="B17" t="s">
        <v>237</v>
      </c>
      <c r="C17" t="s">
        <v>238</v>
      </c>
      <c r="D17" t="s">
        <v>231</v>
      </c>
      <c r="E17" t="s">
        <v>232</v>
      </c>
      <c r="F17">
        <v>0</v>
      </c>
      <c r="G17">
        <v>-6750</v>
      </c>
      <c r="H17">
        <v>6750</v>
      </c>
      <c r="I17" t="s">
        <v>64</v>
      </c>
      <c r="J17" s="9" t="s">
        <v>239</v>
      </c>
      <c r="K17" t="s">
        <v>25</v>
      </c>
      <c r="L17" s="9" t="s">
        <v>26</v>
      </c>
      <c r="M17" s="5" t="s">
        <v>42</v>
      </c>
      <c r="N17" s="5" t="s">
        <v>215</v>
      </c>
      <c r="O17" t="s">
        <v>43</v>
      </c>
      <c r="P17" s="37" t="s">
        <v>410</v>
      </c>
    </row>
    <row r="18" spans="2:16" ht="16" x14ac:dyDescent="0.2">
      <c r="B18" t="s">
        <v>247</v>
      </c>
      <c r="C18" t="s">
        <v>248</v>
      </c>
      <c r="D18" t="s">
        <v>98</v>
      </c>
      <c r="E18" t="s">
        <v>232</v>
      </c>
      <c r="F18">
        <v>0</v>
      </c>
      <c r="G18" s="9" t="s">
        <v>33</v>
      </c>
      <c r="H18">
        <v>31000</v>
      </c>
      <c r="I18" t="s">
        <v>23</v>
      </c>
      <c r="J18" s="9" t="s">
        <v>249</v>
      </c>
      <c r="K18" t="s">
        <v>25</v>
      </c>
      <c r="L18" s="9" t="s">
        <v>26</v>
      </c>
      <c r="M18" s="5" t="s">
        <v>42</v>
      </c>
      <c r="N18" s="5" t="s">
        <v>215</v>
      </c>
      <c r="O18" t="s">
        <v>43</v>
      </c>
      <c r="P18" s="37" t="s">
        <v>411</v>
      </c>
    </row>
    <row r="19" spans="2:16" ht="16" x14ac:dyDescent="0.2">
      <c r="B19" t="s">
        <v>250</v>
      </c>
      <c r="C19" t="s">
        <v>251</v>
      </c>
      <c r="D19" t="s">
        <v>98</v>
      </c>
      <c r="E19" t="s">
        <v>232</v>
      </c>
      <c r="F19">
        <v>0</v>
      </c>
      <c r="G19" s="9" t="s">
        <v>33</v>
      </c>
      <c r="H19">
        <v>31000</v>
      </c>
      <c r="I19" t="s">
        <v>23</v>
      </c>
      <c r="J19" s="9" t="s">
        <v>252</v>
      </c>
      <c r="K19" t="s">
        <v>25</v>
      </c>
      <c r="L19" s="9" t="s">
        <v>26</v>
      </c>
      <c r="M19" s="5" t="s">
        <v>42</v>
      </c>
      <c r="N19" s="5" t="s">
        <v>215</v>
      </c>
      <c r="O19" t="s">
        <v>43</v>
      </c>
      <c r="P19" s="37" t="s">
        <v>412</v>
      </c>
    </row>
    <row r="20" spans="2:16" ht="15.75" customHeight="1" x14ac:dyDescent="0.2">
      <c r="B20" t="s">
        <v>253</v>
      </c>
      <c r="C20" t="s">
        <v>254</v>
      </c>
      <c r="D20" t="s">
        <v>98</v>
      </c>
      <c r="E20" t="s">
        <v>232</v>
      </c>
      <c r="F20">
        <v>0</v>
      </c>
      <c r="G20" s="9" t="s">
        <v>33</v>
      </c>
      <c r="H20">
        <v>31000</v>
      </c>
      <c r="I20" t="s">
        <v>23</v>
      </c>
      <c r="J20" s="9" t="s">
        <v>255</v>
      </c>
      <c r="K20" t="s">
        <v>25</v>
      </c>
      <c r="L20" s="9" t="s">
        <v>26</v>
      </c>
      <c r="M20" s="5" t="s">
        <v>42</v>
      </c>
      <c r="N20" s="5" t="s">
        <v>215</v>
      </c>
      <c r="O20" t="s">
        <v>43</v>
      </c>
      <c r="P20" s="37" t="s">
        <v>412</v>
      </c>
    </row>
    <row r="22" spans="2:16" ht="16" x14ac:dyDescent="0.2">
      <c r="B22" t="s">
        <v>256</v>
      </c>
      <c r="C22" t="s">
        <v>257</v>
      </c>
      <c r="D22" t="s">
        <v>74</v>
      </c>
      <c r="E22" t="s">
        <v>232</v>
      </c>
      <c r="F22">
        <v>0</v>
      </c>
      <c r="G22" s="9" t="s">
        <v>32</v>
      </c>
      <c r="H22" s="9" t="s">
        <v>32</v>
      </c>
      <c r="I22" t="s">
        <v>64</v>
      </c>
      <c r="J22" s="9">
        <v>5500</v>
      </c>
      <c r="K22" t="s">
        <v>25</v>
      </c>
      <c r="L22" s="9">
        <v>1</v>
      </c>
      <c r="M22" s="5" t="s">
        <v>42</v>
      </c>
      <c r="N22" s="5"/>
      <c r="O22" s="5" t="s">
        <v>43</v>
      </c>
      <c r="P22" s="37" t="s">
        <v>413</v>
      </c>
    </row>
    <row r="23" spans="2:16" ht="16" x14ac:dyDescent="0.2">
      <c r="B23" t="s">
        <v>258</v>
      </c>
      <c r="C23" t="s">
        <v>259</v>
      </c>
      <c r="D23" t="s">
        <v>74</v>
      </c>
      <c r="E23" t="s">
        <v>232</v>
      </c>
      <c r="F23">
        <v>0</v>
      </c>
      <c r="G23" s="9" t="s">
        <v>32</v>
      </c>
      <c r="H23" s="9" t="s">
        <v>32</v>
      </c>
      <c r="I23" t="s">
        <v>64</v>
      </c>
      <c r="J23" s="9">
        <v>5501</v>
      </c>
      <c r="K23" t="s">
        <v>25</v>
      </c>
      <c r="L23" s="9">
        <v>1</v>
      </c>
      <c r="M23" s="5" t="s">
        <v>42</v>
      </c>
      <c r="N23" s="5"/>
      <c r="O23" s="5" t="s">
        <v>43</v>
      </c>
      <c r="P23" s="37" t="s">
        <v>414</v>
      </c>
    </row>
    <row r="25" spans="2:16" ht="16" x14ac:dyDescent="0.2">
      <c r="B25" t="s">
        <v>309</v>
      </c>
      <c r="C25" t="s">
        <v>310</v>
      </c>
      <c r="D25" t="s">
        <v>265</v>
      </c>
      <c r="E25" t="s">
        <v>215</v>
      </c>
      <c r="F25" t="s">
        <v>215</v>
      </c>
      <c r="G25" t="s">
        <v>33</v>
      </c>
      <c r="H25">
        <v>19</v>
      </c>
      <c r="I25" t="s">
        <v>23</v>
      </c>
      <c r="J25" s="9">
        <v>2808</v>
      </c>
      <c r="K25" t="s">
        <v>25</v>
      </c>
      <c r="L25" s="9" t="s">
        <v>26</v>
      </c>
      <c r="M25" s="5" t="s">
        <v>42</v>
      </c>
      <c r="N25" s="5" t="s">
        <v>215</v>
      </c>
      <c r="O25" t="s">
        <v>43</v>
      </c>
      <c r="P25" s="37" t="s">
        <v>415</v>
      </c>
    </row>
    <row r="26" spans="2:16" x14ac:dyDescent="0.2">
      <c r="B26" s="4" t="s">
        <v>311</v>
      </c>
      <c r="C26" t="s">
        <v>312</v>
      </c>
      <c r="I26" s="4" t="s">
        <v>23</v>
      </c>
      <c r="J26" s="10" t="s">
        <v>313</v>
      </c>
      <c r="K26" s="4" t="s">
        <v>25</v>
      </c>
      <c r="L26" s="10" t="s">
        <v>26</v>
      </c>
      <c r="M26" s="8" t="s">
        <v>42</v>
      </c>
      <c r="N26" s="8" t="s">
        <v>215</v>
      </c>
      <c r="O26" s="4" t="s">
        <v>43</v>
      </c>
      <c r="P26"/>
    </row>
    <row r="27" spans="2:16" ht="16" outlineLevel="1" x14ac:dyDescent="0.2">
      <c r="B27" t="s">
        <v>314</v>
      </c>
      <c r="D27" t="s">
        <v>215</v>
      </c>
      <c r="E27" t="s">
        <v>215</v>
      </c>
      <c r="F27" t="s">
        <v>215</v>
      </c>
      <c r="G27" t="s">
        <v>215</v>
      </c>
      <c r="H27" t="s">
        <v>215</v>
      </c>
      <c r="I27" t="s">
        <v>23</v>
      </c>
      <c r="J27" t="s">
        <v>313</v>
      </c>
      <c r="K27" t="s">
        <v>25</v>
      </c>
      <c r="L27" t="s">
        <v>26</v>
      </c>
      <c r="M27" s="5" t="s">
        <v>42</v>
      </c>
      <c r="N27" s="5" t="s">
        <v>215</v>
      </c>
      <c r="O27" t="s">
        <v>43</v>
      </c>
      <c r="P27" s="37" t="s">
        <v>416</v>
      </c>
    </row>
    <row r="28" spans="2:16" outlineLevel="1" x14ac:dyDescent="0.2">
      <c r="B28" t="s">
        <v>315</v>
      </c>
      <c r="C28" t="s">
        <v>215</v>
      </c>
      <c r="D28" t="s">
        <v>215</v>
      </c>
      <c r="E28" t="s">
        <v>215</v>
      </c>
      <c r="F28" t="s">
        <v>215</v>
      </c>
      <c r="G28" t="s">
        <v>215</v>
      </c>
      <c r="H28" t="s">
        <v>215</v>
      </c>
      <c r="I28" t="s">
        <v>23</v>
      </c>
      <c r="J28" t="s">
        <v>316</v>
      </c>
      <c r="K28" t="s">
        <v>25</v>
      </c>
      <c r="L28" t="s">
        <v>26</v>
      </c>
      <c r="M28" s="5" t="s">
        <v>42</v>
      </c>
      <c r="N28" s="5" t="s">
        <v>215</v>
      </c>
      <c r="O28" t="s">
        <v>43</v>
      </c>
      <c r="P28"/>
    </row>
    <row r="29" spans="2:16" outlineLevel="1" x14ac:dyDescent="0.2">
      <c r="B29" t="s">
        <v>317</v>
      </c>
      <c r="C29" t="s">
        <v>215</v>
      </c>
      <c r="D29" t="s">
        <v>215</v>
      </c>
      <c r="E29" t="s">
        <v>215</v>
      </c>
      <c r="F29" t="s">
        <v>215</v>
      </c>
      <c r="G29" t="s">
        <v>215</v>
      </c>
      <c r="H29" t="s">
        <v>215</v>
      </c>
      <c r="I29" t="s">
        <v>23</v>
      </c>
      <c r="J29" t="s">
        <v>318</v>
      </c>
      <c r="K29" t="s">
        <v>25</v>
      </c>
      <c r="L29" t="s">
        <v>26</v>
      </c>
      <c r="M29" s="5" t="s">
        <v>42</v>
      </c>
      <c r="N29" s="5" t="s">
        <v>215</v>
      </c>
      <c r="O29" t="s">
        <v>43</v>
      </c>
      <c r="P29"/>
    </row>
    <row r="30" spans="2:16" outlineLevel="1" x14ac:dyDescent="0.2">
      <c r="B30" t="s">
        <v>319</v>
      </c>
      <c r="C30" t="s">
        <v>215</v>
      </c>
      <c r="D30" t="s">
        <v>215</v>
      </c>
      <c r="E30" t="s">
        <v>215</v>
      </c>
      <c r="F30" t="s">
        <v>215</v>
      </c>
      <c r="G30" t="s">
        <v>215</v>
      </c>
      <c r="H30" t="s">
        <v>215</v>
      </c>
      <c r="I30" t="s">
        <v>23</v>
      </c>
      <c r="J30" t="s">
        <v>320</v>
      </c>
      <c r="K30" t="s">
        <v>25</v>
      </c>
      <c r="L30" t="s">
        <v>26</v>
      </c>
      <c r="M30" s="5" t="s">
        <v>42</v>
      </c>
      <c r="N30" s="5" t="s">
        <v>215</v>
      </c>
      <c r="O30" t="s">
        <v>43</v>
      </c>
      <c r="P30"/>
    </row>
    <row r="31" spans="2:16" outlineLevel="1" x14ac:dyDescent="0.2">
      <c r="B31" t="s">
        <v>321</v>
      </c>
      <c r="C31" t="s">
        <v>215</v>
      </c>
      <c r="D31" t="s">
        <v>215</v>
      </c>
      <c r="E31" t="s">
        <v>215</v>
      </c>
      <c r="F31" t="s">
        <v>215</v>
      </c>
      <c r="G31" t="s">
        <v>215</v>
      </c>
      <c r="H31" t="s">
        <v>215</v>
      </c>
      <c r="I31" t="s">
        <v>23</v>
      </c>
      <c r="J31" t="s">
        <v>322</v>
      </c>
      <c r="K31" t="s">
        <v>25</v>
      </c>
      <c r="L31" t="s">
        <v>26</v>
      </c>
      <c r="M31" s="5" t="s">
        <v>42</v>
      </c>
      <c r="N31" s="5" t="s">
        <v>215</v>
      </c>
      <c r="O31" t="s">
        <v>43</v>
      </c>
      <c r="P31"/>
    </row>
    <row r="32" spans="2:16" outlineLevel="1" x14ac:dyDescent="0.2">
      <c r="B32" t="s">
        <v>323</v>
      </c>
      <c r="C32" t="s">
        <v>215</v>
      </c>
      <c r="D32" t="s">
        <v>215</v>
      </c>
      <c r="E32" t="s">
        <v>215</v>
      </c>
      <c r="F32" t="s">
        <v>215</v>
      </c>
      <c r="G32" t="s">
        <v>215</v>
      </c>
      <c r="H32" t="s">
        <v>215</v>
      </c>
      <c r="I32" t="s">
        <v>23</v>
      </c>
      <c r="J32" t="s">
        <v>324</v>
      </c>
      <c r="K32" t="s">
        <v>25</v>
      </c>
      <c r="L32" t="s">
        <v>26</v>
      </c>
      <c r="M32" s="5" t="s">
        <v>42</v>
      </c>
      <c r="N32" s="5" t="s">
        <v>215</v>
      </c>
      <c r="O32" t="s">
        <v>43</v>
      </c>
      <c r="P32"/>
    </row>
    <row r="33" spans="2:16" outlineLevel="1" x14ac:dyDescent="0.2">
      <c r="B33" t="s">
        <v>325</v>
      </c>
      <c r="C33" t="s">
        <v>215</v>
      </c>
      <c r="D33" t="s">
        <v>215</v>
      </c>
      <c r="E33" t="s">
        <v>215</v>
      </c>
      <c r="F33" t="s">
        <v>215</v>
      </c>
      <c r="G33" t="s">
        <v>215</v>
      </c>
      <c r="H33" t="s">
        <v>215</v>
      </c>
      <c r="I33" t="s">
        <v>23</v>
      </c>
      <c r="J33" t="s">
        <v>326</v>
      </c>
      <c r="K33" t="s">
        <v>25</v>
      </c>
      <c r="L33" t="s">
        <v>26</v>
      </c>
      <c r="M33" s="5" t="s">
        <v>42</v>
      </c>
      <c r="N33" s="5" t="s">
        <v>215</v>
      </c>
      <c r="O33" t="s">
        <v>43</v>
      </c>
      <c r="P33"/>
    </row>
    <row r="34" spans="2:16" outlineLevel="1" x14ac:dyDescent="0.2">
      <c r="B34" t="s">
        <v>327</v>
      </c>
      <c r="C34" t="s">
        <v>215</v>
      </c>
      <c r="D34" t="s">
        <v>215</v>
      </c>
      <c r="E34" t="s">
        <v>215</v>
      </c>
      <c r="F34" t="s">
        <v>215</v>
      </c>
      <c r="G34" t="s">
        <v>215</v>
      </c>
      <c r="H34" t="s">
        <v>215</v>
      </c>
      <c r="I34" t="s">
        <v>23</v>
      </c>
      <c r="J34" t="s">
        <v>328</v>
      </c>
      <c r="K34" t="s">
        <v>25</v>
      </c>
      <c r="L34" t="s">
        <v>26</v>
      </c>
      <c r="M34" s="5" t="s">
        <v>42</v>
      </c>
      <c r="N34" s="5" t="s">
        <v>215</v>
      </c>
      <c r="O34" t="s">
        <v>43</v>
      </c>
      <c r="P34"/>
    </row>
    <row r="35" spans="2:16" outlineLevel="1" x14ac:dyDescent="0.2">
      <c r="B35" t="s">
        <v>329</v>
      </c>
      <c r="C35" t="s">
        <v>215</v>
      </c>
      <c r="D35" t="s">
        <v>215</v>
      </c>
      <c r="E35" t="s">
        <v>215</v>
      </c>
      <c r="F35" t="s">
        <v>215</v>
      </c>
      <c r="G35" t="s">
        <v>215</v>
      </c>
      <c r="H35" t="s">
        <v>215</v>
      </c>
      <c r="I35" t="s">
        <v>23</v>
      </c>
      <c r="J35" t="s">
        <v>330</v>
      </c>
      <c r="K35" t="s">
        <v>25</v>
      </c>
      <c r="L35" t="s">
        <v>26</v>
      </c>
      <c r="M35" s="5" t="s">
        <v>42</v>
      </c>
      <c r="N35" s="5" t="s">
        <v>215</v>
      </c>
      <c r="O35" t="s">
        <v>43</v>
      </c>
      <c r="P35"/>
    </row>
    <row r="36" spans="2:16" outlineLevel="1" x14ac:dyDescent="0.2">
      <c r="B36" t="s">
        <v>331</v>
      </c>
      <c r="C36" t="s">
        <v>215</v>
      </c>
      <c r="D36" t="s">
        <v>215</v>
      </c>
      <c r="E36" t="s">
        <v>215</v>
      </c>
      <c r="F36" t="s">
        <v>215</v>
      </c>
      <c r="G36" t="s">
        <v>215</v>
      </c>
      <c r="H36" t="s">
        <v>215</v>
      </c>
      <c r="I36" t="s">
        <v>23</v>
      </c>
      <c r="J36" t="s">
        <v>332</v>
      </c>
      <c r="K36" t="s">
        <v>25</v>
      </c>
      <c r="L36" t="s">
        <v>26</v>
      </c>
      <c r="M36" s="5" t="s">
        <v>42</v>
      </c>
      <c r="N36" s="5" t="s">
        <v>215</v>
      </c>
      <c r="O36" t="s">
        <v>43</v>
      </c>
      <c r="P36"/>
    </row>
    <row r="37" spans="2:16" outlineLevel="1" x14ac:dyDescent="0.2">
      <c r="B37" t="s">
        <v>333</v>
      </c>
      <c r="C37" t="s">
        <v>215</v>
      </c>
      <c r="D37" t="s">
        <v>215</v>
      </c>
      <c r="E37" t="s">
        <v>215</v>
      </c>
      <c r="F37" t="s">
        <v>215</v>
      </c>
      <c r="G37" t="s">
        <v>215</v>
      </c>
      <c r="H37" t="s">
        <v>215</v>
      </c>
      <c r="I37" t="s">
        <v>23</v>
      </c>
      <c r="J37" t="s">
        <v>334</v>
      </c>
      <c r="K37" t="s">
        <v>25</v>
      </c>
      <c r="L37" t="s">
        <v>26</v>
      </c>
      <c r="M37" s="5" t="s">
        <v>42</v>
      </c>
      <c r="N37" s="5" t="s">
        <v>215</v>
      </c>
      <c r="O37" t="s">
        <v>43</v>
      </c>
      <c r="P37"/>
    </row>
    <row r="38" spans="2:16" outlineLevel="1" x14ac:dyDescent="0.2">
      <c r="B38" t="s">
        <v>335</v>
      </c>
      <c r="C38" t="s">
        <v>215</v>
      </c>
      <c r="D38" t="s">
        <v>215</v>
      </c>
      <c r="E38" t="s">
        <v>215</v>
      </c>
      <c r="F38" t="s">
        <v>215</v>
      </c>
      <c r="G38" t="s">
        <v>215</v>
      </c>
      <c r="H38" t="s">
        <v>215</v>
      </c>
      <c r="I38" t="s">
        <v>23</v>
      </c>
      <c r="J38" t="s">
        <v>336</v>
      </c>
      <c r="K38" t="s">
        <v>25</v>
      </c>
      <c r="L38" t="s">
        <v>26</v>
      </c>
      <c r="M38" s="5" t="s">
        <v>42</v>
      </c>
      <c r="N38" s="5" t="s">
        <v>215</v>
      </c>
      <c r="O38" t="s">
        <v>43</v>
      </c>
      <c r="P38"/>
    </row>
    <row r="39" spans="2:16" outlineLevel="1" x14ac:dyDescent="0.2">
      <c r="B39" t="s">
        <v>337</v>
      </c>
      <c r="C39" t="s">
        <v>215</v>
      </c>
      <c r="D39" t="s">
        <v>215</v>
      </c>
      <c r="E39" t="s">
        <v>215</v>
      </c>
      <c r="F39" t="s">
        <v>215</v>
      </c>
      <c r="G39" t="s">
        <v>215</v>
      </c>
      <c r="H39" t="s">
        <v>215</v>
      </c>
      <c r="I39" t="s">
        <v>23</v>
      </c>
      <c r="J39" t="s">
        <v>338</v>
      </c>
      <c r="K39" t="s">
        <v>25</v>
      </c>
      <c r="L39" t="s">
        <v>26</v>
      </c>
      <c r="M39" s="5" t="s">
        <v>42</v>
      </c>
      <c r="N39" s="5" t="s">
        <v>215</v>
      </c>
      <c r="O39" t="s">
        <v>43</v>
      </c>
      <c r="P39"/>
    </row>
    <row r="40" spans="2:16" outlineLevel="1" x14ac:dyDescent="0.2">
      <c r="B40" t="s">
        <v>339</v>
      </c>
      <c r="C40" t="s">
        <v>215</v>
      </c>
      <c r="D40" t="s">
        <v>215</v>
      </c>
      <c r="E40" t="s">
        <v>215</v>
      </c>
      <c r="F40" t="s">
        <v>215</v>
      </c>
      <c r="G40" t="s">
        <v>215</v>
      </c>
      <c r="H40" t="s">
        <v>215</v>
      </c>
      <c r="I40" t="s">
        <v>23</v>
      </c>
      <c r="J40" t="s">
        <v>340</v>
      </c>
      <c r="K40" t="s">
        <v>25</v>
      </c>
      <c r="L40" t="s">
        <v>26</v>
      </c>
      <c r="M40" s="5" t="s">
        <v>42</v>
      </c>
      <c r="N40" s="5" t="s">
        <v>215</v>
      </c>
      <c r="O40" t="s">
        <v>43</v>
      </c>
      <c r="P40"/>
    </row>
    <row r="41" spans="2:16" outlineLevel="1" x14ac:dyDescent="0.2">
      <c r="B41" t="s">
        <v>341</v>
      </c>
      <c r="C41" t="s">
        <v>215</v>
      </c>
      <c r="D41" t="s">
        <v>215</v>
      </c>
      <c r="E41" t="s">
        <v>215</v>
      </c>
      <c r="F41" t="s">
        <v>215</v>
      </c>
      <c r="G41" t="s">
        <v>215</v>
      </c>
      <c r="H41" t="s">
        <v>215</v>
      </c>
      <c r="I41" t="s">
        <v>23</v>
      </c>
      <c r="J41" t="s">
        <v>342</v>
      </c>
      <c r="K41" t="s">
        <v>25</v>
      </c>
      <c r="L41" t="s">
        <v>26</v>
      </c>
      <c r="M41" s="5" t="s">
        <v>42</v>
      </c>
      <c r="N41" s="5" t="s">
        <v>215</v>
      </c>
      <c r="O41" t="s">
        <v>43</v>
      </c>
      <c r="P41"/>
    </row>
    <row r="42" spans="2:16" outlineLevel="1" x14ac:dyDescent="0.2">
      <c r="B42" t="s">
        <v>343</v>
      </c>
      <c r="C42" t="s">
        <v>215</v>
      </c>
      <c r="D42" t="s">
        <v>215</v>
      </c>
      <c r="E42" t="s">
        <v>215</v>
      </c>
      <c r="F42" t="s">
        <v>215</v>
      </c>
      <c r="G42" t="s">
        <v>215</v>
      </c>
      <c r="H42" t="s">
        <v>215</v>
      </c>
      <c r="I42" t="s">
        <v>23</v>
      </c>
      <c r="J42" t="s">
        <v>344</v>
      </c>
      <c r="K42" t="s">
        <v>25</v>
      </c>
      <c r="L42" t="s">
        <v>26</v>
      </c>
      <c r="M42" s="5" t="s">
        <v>42</v>
      </c>
      <c r="N42" s="5" t="s">
        <v>215</v>
      </c>
      <c r="O42" t="s">
        <v>43</v>
      </c>
      <c r="P42"/>
    </row>
    <row r="43" spans="2:16" outlineLevel="1" x14ac:dyDescent="0.2">
      <c r="B43" t="s">
        <v>345</v>
      </c>
      <c r="C43" t="s">
        <v>215</v>
      </c>
      <c r="D43" t="s">
        <v>215</v>
      </c>
      <c r="E43" t="s">
        <v>215</v>
      </c>
      <c r="F43" t="s">
        <v>215</v>
      </c>
      <c r="G43" t="s">
        <v>215</v>
      </c>
      <c r="H43" t="s">
        <v>215</v>
      </c>
      <c r="I43" t="s">
        <v>23</v>
      </c>
      <c r="J43" t="s">
        <v>346</v>
      </c>
      <c r="K43" t="s">
        <v>25</v>
      </c>
      <c r="L43" t="s">
        <v>26</v>
      </c>
      <c r="M43" s="5" t="s">
        <v>42</v>
      </c>
      <c r="N43" s="5" t="s">
        <v>215</v>
      </c>
      <c r="O43" t="s">
        <v>43</v>
      </c>
      <c r="P43"/>
    </row>
    <row r="44" spans="2:16" outlineLevel="1" x14ac:dyDescent="0.2">
      <c r="B44" t="s">
        <v>347</v>
      </c>
      <c r="C44" t="s">
        <v>215</v>
      </c>
      <c r="D44" t="s">
        <v>215</v>
      </c>
      <c r="E44" t="s">
        <v>215</v>
      </c>
      <c r="F44" t="s">
        <v>215</v>
      </c>
      <c r="G44" t="s">
        <v>215</v>
      </c>
      <c r="H44" t="s">
        <v>215</v>
      </c>
      <c r="I44" t="s">
        <v>23</v>
      </c>
      <c r="J44" t="s">
        <v>348</v>
      </c>
      <c r="K44" t="s">
        <v>25</v>
      </c>
      <c r="L44" t="s">
        <v>26</v>
      </c>
      <c r="M44" s="5" t="s">
        <v>42</v>
      </c>
      <c r="N44" s="5" t="s">
        <v>215</v>
      </c>
      <c r="O44" t="s">
        <v>43</v>
      </c>
      <c r="P44"/>
    </row>
    <row r="45" spans="2:16" outlineLevel="1" x14ac:dyDescent="0.2">
      <c r="B45" t="s">
        <v>349</v>
      </c>
      <c r="C45" t="s">
        <v>215</v>
      </c>
      <c r="D45" t="s">
        <v>215</v>
      </c>
      <c r="E45" t="s">
        <v>215</v>
      </c>
      <c r="F45" t="s">
        <v>215</v>
      </c>
      <c r="G45" t="s">
        <v>215</v>
      </c>
      <c r="H45" t="s">
        <v>215</v>
      </c>
      <c r="I45" t="s">
        <v>23</v>
      </c>
      <c r="J45" t="s">
        <v>350</v>
      </c>
      <c r="K45" t="s">
        <v>25</v>
      </c>
      <c r="L45" t="s">
        <v>26</v>
      </c>
      <c r="M45" s="5" t="s">
        <v>42</v>
      </c>
      <c r="N45" s="5" t="s">
        <v>215</v>
      </c>
      <c r="O45" t="s">
        <v>43</v>
      </c>
      <c r="P45"/>
    </row>
    <row r="46" spans="2:16" outlineLevel="1" x14ac:dyDescent="0.2">
      <c r="B46" t="s">
        <v>351</v>
      </c>
      <c r="C46" t="s">
        <v>215</v>
      </c>
      <c r="D46" t="s">
        <v>215</v>
      </c>
      <c r="E46" t="s">
        <v>215</v>
      </c>
      <c r="F46" t="s">
        <v>215</v>
      </c>
      <c r="G46" t="s">
        <v>215</v>
      </c>
      <c r="H46" t="s">
        <v>215</v>
      </c>
      <c r="I46" t="s">
        <v>23</v>
      </c>
      <c r="J46" t="s">
        <v>352</v>
      </c>
      <c r="K46" t="s">
        <v>25</v>
      </c>
      <c r="L46" t="s">
        <v>26</v>
      </c>
      <c r="M46" s="5" t="s">
        <v>42</v>
      </c>
      <c r="N46" s="5" t="s">
        <v>215</v>
      </c>
      <c r="O46" t="s">
        <v>43</v>
      </c>
      <c r="P46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711FD18B363E94DAD2507ED6DBB9DDD" ma:contentTypeVersion="14" ma:contentTypeDescription="Ein neues Dokument erstellen." ma:contentTypeScope="" ma:versionID="def4760d769d98da17d982961fe650aa">
  <xsd:schema xmlns:xsd="http://www.w3.org/2001/XMLSchema" xmlns:xs="http://www.w3.org/2001/XMLSchema" xmlns:p="http://schemas.microsoft.com/office/2006/metadata/properties" xmlns:ns2="c0c78b09-aab0-4d08-beb7-035a9c9028c7" xmlns:ns3="99624a08-16d2-4705-b96b-a6502a7139fd" targetNamespace="http://schemas.microsoft.com/office/2006/metadata/properties" ma:root="true" ma:fieldsID="1b9f9b7e944b92c2cb0d96201ea4b460" ns2:_="" ns3:_="">
    <xsd:import namespace="c0c78b09-aab0-4d08-beb7-035a9c9028c7"/>
    <xsd:import namespace="99624a08-16d2-4705-b96b-a6502a7139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Remar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78b09-aab0-4d08-beb7-035a9c9028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d7d41c3e-ecb3-4b79-b9f2-dcbc295373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Remarks" ma:index="21" nillable="true" ma:displayName="Remarks" ma:default="None" ma:description="Data from this system was shared few weeks ago, now with 1 minute time resolution" ma:format="Dropdown" ma:internalName="Remark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24a08-16d2-4705-b96b-a6502a7139f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76c1147-5a62-40cc-b507-4269d5ef1340}" ma:internalName="TaxCatchAll" ma:showField="CatchAllData" ma:web="99624a08-16d2-4705-b96b-a6502a7139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624a08-16d2-4705-b96b-a6502a7139fd" xsi:nil="true"/>
    <lcf76f155ced4ddcb4097134ff3c332f xmlns="c0c78b09-aab0-4d08-beb7-035a9c9028c7">
      <Terms xmlns="http://schemas.microsoft.com/office/infopath/2007/PartnerControls"/>
    </lcf76f155ced4ddcb4097134ff3c332f>
    <Remarks xmlns="c0c78b09-aab0-4d08-beb7-035a9c9028c7">None</Remarks>
  </documentManagement>
</p:properties>
</file>

<file path=customXml/itemProps1.xml><?xml version="1.0" encoding="utf-8"?>
<ds:datastoreItem xmlns:ds="http://schemas.openxmlformats.org/officeDocument/2006/customXml" ds:itemID="{0290ED43-4859-467F-848C-2F51732415D7}"/>
</file>

<file path=customXml/itemProps2.xml><?xml version="1.0" encoding="utf-8"?>
<ds:datastoreItem xmlns:ds="http://schemas.openxmlformats.org/officeDocument/2006/customXml" ds:itemID="{4D60F767-577D-41F4-B08F-15F9E49AB6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80C8B5-CE33-4F59-B239-A9974E62A7EE}">
  <ds:schemaRefs>
    <ds:schemaRef ds:uri="http://purl.org/dc/dcmitype/"/>
    <ds:schemaRef ds:uri="a7cf3323-abbc-4909-b465-8fb1432fc1d7"/>
    <ds:schemaRef ds:uri="621cdfad-68e8-4bec-8e50-2c2545e99469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Parameters</vt:lpstr>
      <vt:lpstr>Error_Warning_List</vt:lpstr>
      <vt:lpstr>ABB-NA-Schutz</vt:lpstr>
      <vt:lpstr>Abgespeckte 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nam.truong@stabl.com</dc:creator>
  <cp:keywords/>
  <dc:description/>
  <cp:lastModifiedBy>Julian Meyer-Schwickerath</cp:lastModifiedBy>
  <cp:revision>1</cp:revision>
  <dcterms:created xsi:type="dcterms:W3CDTF">2021-11-17T15:28:53Z</dcterms:created>
  <dcterms:modified xsi:type="dcterms:W3CDTF">2025-03-13T15:42:58Z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0x0101008711FD18B363E94DAD2507ED6DBB9DDD</vt:lpwstr>
  </property>
  <property fmtid="{D5CDD505-2E9C-101B-9397-08002B2CF9AE}" pid="3" name="MediaServiceImageTags">
    <vt:lpwstr/>
  </property>
</Properties>
</file>